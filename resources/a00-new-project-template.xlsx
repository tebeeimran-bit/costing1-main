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sz\Costing-System\Development\resources\"/>
    </mc:Choice>
  </mc:AlternateContent>
  <xr:revisionPtr revIDLastSave="0" documentId="13_ncr:1_{C34C00A8-C57E-4F0A-9802-7DB8D5353FAD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A00" sheetId="2" r:id="rId1"/>
    <sheet name="LAMPIRAN ASSY" sheetId="3" r:id="rId2"/>
    <sheet name="LAMPIRAN ASSY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4" l="1"/>
  <c r="N15" i="3"/>
  <c r="N16" i="3"/>
  <c r="N14" i="3"/>
  <c r="K10" i="3"/>
  <c r="K9" i="3"/>
</calcChain>
</file>

<file path=xl/sharedStrings.xml><?xml version="1.0" encoding="utf-8"?>
<sst xmlns="http://schemas.openxmlformats.org/spreadsheetml/2006/main" count="156" uniqueCount="79">
  <si>
    <t>NEW PROJECT
DECLARATION</t>
  </si>
  <si>
    <t>A00</t>
  </si>
  <si>
    <t>Doc. No</t>
  </si>
  <si>
    <t>Date</t>
  </si>
  <si>
    <t>Revision</t>
  </si>
  <si>
    <t>From - To</t>
  </si>
  <si>
    <t>MKT - TEAM PROJECT</t>
  </si>
  <si>
    <t>Dengan ini kami sampaikan project baru sebagai berikut :</t>
  </si>
  <si>
    <t xml:space="preserve">I. </t>
  </si>
  <si>
    <t>General Information</t>
  </si>
  <si>
    <t>1.</t>
  </si>
  <si>
    <t>Customer</t>
  </si>
  <si>
    <t>:</t>
  </si>
  <si>
    <t>2.</t>
  </si>
  <si>
    <t>Model</t>
  </si>
  <si>
    <t>Assy Name</t>
  </si>
  <si>
    <t>3.</t>
  </si>
  <si>
    <t>Assy No.</t>
  </si>
  <si>
    <t>4.</t>
  </si>
  <si>
    <t>Quantity</t>
  </si>
  <si>
    <t>Units</t>
  </si>
  <si>
    <t>per</t>
  </si>
  <si>
    <t>5.</t>
  </si>
  <si>
    <t>Product's Life</t>
  </si>
  <si>
    <t>II.</t>
  </si>
  <si>
    <t>Schedule of Internal Project</t>
  </si>
  <si>
    <t>Due Date Part List</t>
  </si>
  <si>
    <t>(dd/mmm/yyyy)</t>
  </si>
  <si>
    <t>Due Date UMH</t>
  </si>
  <si>
    <t>Due Date Harga New Part</t>
  </si>
  <si>
    <t>Due Date Costing</t>
  </si>
  <si>
    <t>Submit Quotation</t>
  </si>
  <si>
    <t>III.</t>
  </si>
  <si>
    <t>Schedule of Customer Events</t>
  </si>
  <si>
    <t>Disetujui</t>
  </si>
  <si>
    <t>Diketahui</t>
  </si>
  <si>
    <t>Dibuat</t>
  </si>
  <si>
    <t>Y. Susanto</t>
  </si>
  <si>
    <t>L. Andri H</t>
  </si>
  <si>
    <t>Rian Yulianto</t>
  </si>
  <si>
    <t>Director</t>
  </si>
  <si>
    <t>Div. Mkt</t>
  </si>
  <si>
    <t>Marketing</t>
  </si>
  <si>
    <t>NOTE :</t>
  </si>
  <si>
    <t>1. Jumlah assy no. dan part no. dapat dilampirkan pada halaman terpisah.</t>
  </si>
  <si>
    <t>2. Jika ada Die Go / LoI dapat dilampirkan pada dokumen ini</t>
  </si>
  <si>
    <r>
      <rPr>
        <sz val="11"/>
        <color theme="1"/>
        <rFont val="Calibri"/>
        <family val="2"/>
        <scheme val="minor"/>
      </rPr>
      <t xml:space="preserve">*) </t>
    </r>
    <r>
      <rPr>
        <i/>
        <sz val="11"/>
        <color theme="1"/>
        <rFont val="Calibri"/>
        <family val="2"/>
        <scheme val="minor"/>
      </rPr>
      <t>Coret yang tidak perlu</t>
    </r>
  </si>
  <si>
    <t>ASSY NAME</t>
  </si>
  <si>
    <t>ASSY NO</t>
  </si>
  <si>
    <t>Spot Order</t>
  </si>
  <si>
    <t>PP</t>
  </si>
  <si>
    <t>MPP</t>
  </si>
  <si>
    <t>PILOT</t>
  </si>
  <si>
    <t>SOP</t>
  </si>
  <si>
    <t>00</t>
  </si>
  <si>
    <t>DP</t>
  </si>
  <si>
    <t>2 Years</t>
  </si>
  <si>
    <t>Month</t>
  </si>
  <si>
    <t>2025</t>
  </si>
  <si>
    <t>PT. TOYO DENSO INDONESIA</t>
  </si>
  <si>
    <t>CORD ASSY</t>
  </si>
  <si>
    <t>VOLUME / MONTH</t>
  </si>
  <si>
    <t>W39850</t>
  </si>
  <si>
    <t>W39853</t>
  </si>
  <si>
    <t>W39158-06</t>
  </si>
  <si>
    <t>016/MKT-PROJECT/A00/II/2025</t>
  </si>
  <si>
    <t>BRP RYKER</t>
  </si>
  <si>
    <t>Cikarang, 28 Februari 2025</t>
  </si>
  <si>
    <t>Mar</t>
  </si>
  <si>
    <t>03</t>
  </si>
  <si>
    <t>04</t>
  </si>
  <si>
    <t>Jun</t>
  </si>
  <si>
    <t>W39801</t>
  </si>
  <si>
    <t>No.</t>
  </si>
  <si>
    <t>Assy No</t>
  </si>
  <si>
    <t>Total</t>
  </si>
  <si>
    <t>KY A</t>
  </si>
  <si>
    <t>TBD</t>
  </si>
  <si>
    <t>LAMPIRAN FORECAST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</si>
</sst>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28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5" xfId="0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5" fontId="10" fillId="0" borderId="0" xfId="0" applyNumberFormat="1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5" fontId="8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left" vertical="center"/>
    </xf>
    <xf numFmtId="3" fontId="0" fillId="0" borderId="5" xfId="0" applyNumberFormat="1" applyBorder="1" applyAlignment="1">
      <alignment horizontal="left" vertical="center"/>
    </xf>
    <xf numFmtId="49" fontId="1" fillId="0" borderId="11" xfId="0" quotePrefix="1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2">
    <cellStyle name="Normal" xfId="0" builtinId="0"/>
    <cellStyle name="Normal 55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146907</xdr:colOff>
      <xdr:row>1</xdr:row>
      <xdr:rowOff>5582</xdr:rowOff>
    </xdr:from>
    <xdr:to>
      <xdr:col>4</xdr:col>
      <xdr:colOff>126936</xdr:colOff>
      <xdr:row>3</xdr:row>
      <xdr:rowOff>96233</xdr:rowOff>
    </xdr:to>
    <xdr:pic>
      <xdr:nvPicPr>
        <xdr:cNvPr id="2" name="LOGO D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94335" y="205105"/>
          <a:ext cx="722630" cy="457835"/>
        </a:xfrm>
        <a:prstGeom prst="rect">
          <a:avLst/>
        </a:prstGeom>
        <a:noFill/>
        <a:ln w="9525">
          <a:noFill/>
          <a:round/>
        </a:ln>
        <a:effectLst/>
      </xdr:spPr>
    </xdr:pic>
    <xdr:clientData/>
  </xdr:twoCellAnchor>
  <xdr:twoCellAnchor>
    <xdr:from>
      <xdr:col>1</xdr:col>
      <xdr:colOff>69850</xdr:colOff>
      <xdr:row>3</xdr:row>
      <xdr:rowOff>76835</xdr:rowOff>
    </xdr:from>
    <xdr:to>
      <xdr:col>4</xdr:col>
      <xdr:colOff>200025</xdr:colOff>
      <xdr:row>5</xdr:row>
      <xdr:rowOff>143510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17500" y="643890"/>
          <a:ext cx="873125" cy="433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500" b="1"/>
            <a:t>PT. DHARMA ELECTRINDO</a:t>
          </a:r>
        </a:p>
        <a:p>
          <a:pPr algn="ctr"/>
          <a:r>
            <a:rPr lang="en-US" sz="500" b="1"/>
            <a:t>MANUFACTURING</a:t>
          </a:r>
        </a:p>
      </xdr:txBody>
    </xdr:sp>
    <xdr:clientData/>
  </xdr:twoCellAnchor>
  <xdr:twoCellAnchor>
    <xdr:from>
      <xdr:col>19</xdr:col>
      <xdr:colOff>180602</xdr:colOff>
      <xdr:row>45</xdr:row>
      <xdr:rowOff>57150</xdr:rowOff>
    </xdr:from>
    <xdr:to>
      <xdr:col>20</xdr:col>
      <xdr:colOff>277197</xdr:colOff>
      <xdr:row>48</xdr:row>
      <xdr:rowOff>109855</xdr:rowOff>
    </xdr:to>
    <xdr:grpSp>
      <xdr:nvGrpSpPr>
        <xdr:cNvPr id="4" name="Group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122396" y="8584826"/>
          <a:ext cx="410360" cy="624205"/>
          <a:chOff x="11670" y="13111"/>
          <a:chExt cx="1072" cy="1682"/>
        </a:xfrm>
      </xdr:grpSpPr>
      <xdr:sp macro="" textlink="">
        <xdr:nvSpPr>
          <xdr:cNvPr id="5" name="Freeform 18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2049" y="13393"/>
            <a:ext cx="104" cy="1401"/>
          </a:xfrm>
          <a:custGeom>
            <a:avLst/>
            <a:gdLst>
              <a:gd name="connisteX0" fmla="*/ 1124 w 66262"/>
              <a:gd name="connsiteY0" fmla="*/ 0 h 889349"/>
              <a:gd name="connisteX1" fmla="*/ 7474 w 66262"/>
              <a:gd name="connsiteY1" fmla="*/ 450850 h 889349"/>
              <a:gd name="connisteX2" fmla="*/ 58274 w 66262"/>
              <a:gd name="connsiteY2" fmla="*/ 889000 h 889349"/>
              <a:gd name="connisteX3" fmla="*/ 64624 w 66262"/>
              <a:gd name="connsiteY3" fmla="*/ 393700 h 889349"/>
              <a:gd name="connisteX4" fmla="*/ 51924 w 66262"/>
              <a:gd name="connsiteY4" fmla="*/ 25400 h 889349"/>
              <a:gd name="connisteX5" fmla="*/ 102724 w 66262"/>
              <a:gd name="connsiteY5" fmla="*/ 234950 h 889349"/>
            </a:gdLst>
            <a:ahLst/>
            <a:cxnLst>
              <a:cxn ang="0">
                <a:pos x="connisteX0" y="connsiteY0"/>
              </a:cxn>
              <a:cxn ang="0">
                <a:pos x="connisteX1" y="connsiteY1"/>
              </a:cxn>
              <a:cxn ang="0">
                <a:pos x="connisteX2" y="connsiteY2"/>
              </a:cxn>
              <a:cxn ang="0">
                <a:pos x="connisteX3" y="connsiteY3"/>
              </a:cxn>
              <a:cxn ang="0">
                <a:pos x="connisteX4" y="connsiteY4"/>
              </a:cxn>
              <a:cxn ang="0">
                <a:pos x="connisteX5" y="connsiteY5"/>
              </a:cxn>
            </a:cxnLst>
            <a:rect l="l" t="t" r="r" b="b"/>
            <a:pathLst>
              <a:path w="66263" h="889349">
                <a:moveTo>
                  <a:pt x="1125" y="0"/>
                </a:moveTo>
                <a:cubicBezTo>
                  <a:pt x="1125" y="81280"/>
                  <a:pt x="-3955" y="273050"/>
                  <a:pt x="7475" y="450850"/>
                </a:cubicBezTo>
                <a:cubicBezTo>
                  <a:pt x="18905" y="628650"/>
                  <a:pt x="46845" y="900430"/>
                  <a:pt x="58275" y="889000"/>
                </a:cubicBezTo>
                <a:cubicBezTo>
                  <a:pt x="69705" y="877570"/>
                  <a:pt x="65895" y="566420"/>
                  <a:pt x="64625" y="393700"/>
                </a:cubicBezTo>
                <a:cubicBezTo>
                  <a:pt x="63355" y="220980"/>
                  <a:pt x="44305" y="57150"/>
                  <a:pt x="51925" y="25400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altLang="en-US" sz="1100"/>
          </a:p>
        </xdr:txBody>
      </xdr:sp>
      <xdr:sp macro="" textlink="">
        <xdr:nvSpPr>
          <xdr:cNvPr id="6" name="Freeform 19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1670" y="13111"/>
            <a:ext cx="1072" cy="1334"/>
          </a:xfrm>
          <a:custGeom>
            <a:avLst/>
            <a:gdLst>
              <a:gd name="connisteX0" fmla="*/ 114451 w 680707"/>
              <a:gd name="connsiteY0" fmla="*/ 539192 h 846827"/>
              <a:gd name="connisteX1" fmla="*/ 151 w 680707"/>
              <a:gd name="connsiteY1" fmla="*/ 424892 h 846827"/>
              <a:gd name="connisteX2" fmla="*/ 101751 w 680707"/>
              <a:gd name="connsiteY2" fmla="*/ 202642 h 846827"/>
              <a:gd name="connisteX3" fmla="*/ 374801 w 680707"/>
              <a:gd name="connsiteY3" fmla="*/ 12142 h 846827"/>
              <a:gd name="connisteX4" fmla="*/ 565301 w 680707"/>
              <a:gd name="connsiteY4" fmla="*/ 81992 h 846827"/>
              <a:gd name="connisteX5" fmla="*/ 374801 w 680707"/>
              <a:gd name="connsiteY5" fmla="*/ 450292 h 846827"/>
              <a:gd name="connisteX6" fmla="*/ 152551 w 680707"/>
              <a:gd name="connsiteY6" fmla="*/ 843992 h 846827"/>
              <a:gd name="connisteX7" fmla="*/ 400201 w 680707"/>
              <a:gd name="connsiteY7" fmla="*/ 589992 h 846827"/>
              <a:gd name="connisteX8" fmla="*/ 597051 w 680707"/>
              <a:gd name="connsiteY8" fmla="*/ 361392 h 846827"/>
              <a:gd name="connisteX9" fmla="*/ 412901 w 680707"/>
              <a:gd name="connsiteY9" fmla="*/ 716992 h 846827"/>
              <a:gd name="connisteX10" fmla="*/ 368451 w 680707"/>
              <a:gd name="connsiteY10" fmla="*/ 818592 h 846827"/>
              <a:gd name="connisteX11" fmla="*/ 660551 w 680707"/>
              <a:gd name="connsiteY11" fmla="*/ 609042 h 846827"/>
              <a:gd name="connisteX12" fmla="*/ 641501 w 680707"/>
              <a:gd name="connsiteY12" fmla="*/ 793192 h 846827"/>
              <a:gd name="connisteX13" fmla="*/ 660551 w 680707"/>
              <a:gd name="connsiteY13" fmla="*/ 774142 h 846827"/>
              <a:gd name="connisteX14" fmla="*/ 971701 w 680707"/>
              <a:gd name="connsiteY14" fmla="*/ 907492 h 846827"/>
            </a:gdLst>
            <a:ahLst/>
            <a:cxnLst>
              <a:cxn ang="0">
                <a:pos x="connisteX0" y="connsiteY0"/>
              </a:cxn>
              <a:cxn ang="0">
                <a:pos x="connisteX1" y="connsiteY1"/>
              </a:cxn>
              <a:cxn ang="0">
                <a:pos x="connisteX2" y="connsiteY2"/>
              </a:cxn>
              <a:cxn ang="0">
                <a:pos x="connisteX3" y="connsiteY3"/>
              </a:cxn>
              <a:cxn ang="0">
                <a:pos x="connisteX4" y="connsiteY4"/>
              </a:cxn>
              <a:cxn ang="0">
                <a:pos x="connisteX5" y="connsiteY5"/>
              </a:cxn>
              <a:cxn ang="0">
                <a:pos x="connisteX6" y="connsiteY6"/>
              </a:cxn>
              <a:cxn ang="0">
                <a:pos x="connisteX7" y="connsiteY7"/>
              </a:cxn>
              <a:cxn ang="0">
                <a:pos x="connisteX8" y="connsiteY8"/>
              </a:cxn>
              <a:cxn ang="0">
                <a:pos x="connisteX9" y="connsiteY9"/>
              </a:cxn>
              <a:cxn ang="0">
                <a:pos x="connisteX10" y="connsiteY10"/>
              </a:cxn>
              <a:cxn ang="0">
                <a:pos x="connisteX11" y="connsiteY11"/>
              </a:cxn>
              <a:cxn ang="0">
                <a:pos x="connisteX12" y="connsiteY12"/>
              </a:cxn>
              <a:cxn ang="0">
                <a:pos x="connisteX13" y="connsiteY13"/>
              </a:cxn>
              <a:cxn ang="0">
                <a:pos x="connisteX14" y="connsiteY14"/>
              </a:cxn>
            </a:cxnLst>
            <a:rect l="l" t="t" r="r" b="b"/>
            <a:pathLst>
              <a:path w="680708" h="846828">
                <a:moveTo>
                  <a:pt x="114452" y="539192"/>
                </a:moveTo>
                <a:cubicBezTo>
                  <a:pt x="89687" y="520777"/>
                  <a:pt x="2692" y="492202"/>
                  <a:pt x="152" y="424892"/>
                </a:cubicBezTo>
                <a:cubicBezTo>
                  <a:pt x="-2388" y="357582"/>
                  <a:pt x="26822" y="285192"/>
                  <a:pt x="101752" y="202642"/>
                </a:cubicBezTo>
                <a:cubicBezTo>
                  <a:pt x="176682" y="120092"/>
                  <a:pt x="282092" y="36272"/>
                  <a:pt x="374802" y="12142"/>
                </a:cubicBezTo>
                <a:cubicBezTo>
                  <a:pt x="467512" y="-11988"/>
                  <a:pt x="565302" y="-5638"/>
                  <a:pt x="565302" y="81992"/>
                </a:cubicBezTo>
                <a:cubicBezTo>
                  <a:pt x="565302" y="169622"/>
                  <a:pt x="457352" y="297892"/>
                  <a:pt x="374802" y="450292"/>
                </a:cubicBezTo>
                <a:cubicBezTo>
                  <a:pt x="292252" y="602692"/>
                  <a:pt x="147472" y="816052"/>
                  <a:pt x="152552" y="843992"/>
                </a:cubicBezTo>
                <a:cubicBezTo>
                  <a:pt x="157632" y="871932"/>
                  <a:pt x="311302" y="686512"/>
                  <a:pt x="400202" y="589992"/>
                </a:cubicBezTo>
                <a:cubicBezTo>
                  <a:pt x="489102" y="493472"/>
                  <a:pt x="594512" y="335992"/>
                  <a:pt x="597052" y="361392"/>
                </a:cubicBezTo>
                <a:cubicBezTo>
                  <a:pt x="599592" y="386792"/>
                  <a:pt x="458622" y="625552"/>
                  <a:pt x="412902" y="716992"/>
                </a:cubicBezTo>
                <a:cubicBezTo>
                  <a:pt x="367182" y="808432"/>
                  <a:pt x="318922" y="840182"/>
                  <a:pt x="368452" y="818592"/>
                </a:cubicBezTo>
                <a:cubicBezTo>
                  <a:pt x="417982" y="797002"/>
                  <a:pt x="605942" y="614122"/>
                  <a:pt x="660552" y="609042"/>
                </a:cubicBezTo>
                <a:cubicBezTo>
                  <a:pt x="715162" y="603962"/>
                  <a:pt x="641502" y="760172"/>
                  <a:pt x="641502" y="793192"/>
                </a:cubicBezTo>
                <a:cubicBezTo>
                  <a:pt x="641502" y="826212"/>
                  <a:pt x="594512" y="751282"/>
                  <a:pt x="660552" y="774142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altLang="en-US" sz="1100"/>
          </a:p>
        </xdr:txBody>
      </xdr:sp>
    </xdr:grpSp>
    <xdr:clientData/>
  </xdr:twoCellAnchor>
  <xdr:twoCellAnchor>
    <xdr:from>
      <xdr:col>10</xdr:col>
      <xdr:colOff>0</xdr:colOff>
      <xdr:row>15</xdr:row>
      <xdr:rowOff>41672</xdr:rowOff>
    </xdr:from>
    <xdr:to>
      <xdr:col>10</xdr:col>
      <xdr:colOff>172640</xdr:colOff>
      <xdr:row>15</xdr:row>
      <xdr:rowOff>184547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0CD0B0-0858-48D2-A08E-CEA7F5A6F371}"/>
            </a:ext>
          </a:extLst>
        </xdr:cNvPr>
        <xdr:cNvSpPr txBox="1"/>
      </xdr:nvSpPr>
      <xdr:spPr>
        <a:xfrm>
          <a:off x="2381250" y="2480072"/>
          <a:ext cx="17264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10</xdr:col>
      <xdr:colOff>3572</xdr:colOff>
      <xdr:row>16</xdr:row>
      <xdr:rowOff>33338</xdr:rowOff>
    </xdr:from>
    <xdr:to>
      <xdr:col>10</xdr:col>
      <xdr:colOff>176212</xdr:colOff>
      <xdr:row>16</xdr:row>
      <xdr:rowOff>176213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CF76F9-C968-4EB7-8026-E30FAE41361C}"/>
            </a:ext>
          </a:extLst>
        </xdr:cNvPr>
        <xdr:cNvSpPr txBox="1"/>
      </xdr:nvSpPr>
      <xdr:spPr>
        <a:xfrm>
          <a:off x="2384822" y="2662238"/>
          <a:ext cx="17264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16</xdr:col>
      <xdr:colOff>178919</xdr:colOff>
      <xdr:row>44</xdr:row>
      <xdr:rowOff>145677</xdr:rowOff>
    </xdr:from>
    <xdr:to>
      <xdr:col>18</xdr:col>
      <xdr:colOff>278999</xdr:colOff>
      <xdr:row>49</xdr:row>
      <xdr:rowOff>67877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4DC0A0-883B-41B8-B5F2-F8C8D072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3390" y="8482853"/>
          <a:ext cx="637962" cy="874700"/>
        </a:xfrm>
        <a:prstGeom prst="rect">
          <a:avLst/>
        </a:prstGeom>
      </xdr:spPr>
    </xdr:pic>
    <xdr:clientData/>
  </xdr:twoCellAnchor>
  <xdr:twoCellAnchor>
    <xdr:from>
      <xdr:col>12</xdr:col>
      <xdr:colOff>134471</xdr:colOff>
      <xdr:row>45</xdr:row>
      <xdr:rowOff>76661</xdr:rowOff>
    </xdr:from>
    <xdr:to>
      <xdr:col>15</xdr:col>
      <xdr:colOff>88257</xdr:colOff>
      <xdr:row>50</xdr:row>
      <xdr:rowOff>31120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7C73A8D-9EB5-4607-B904-A2CA38BF248F}"/>
            </a:ext>
          </a:extLst>
        </xdr:cNvPr>
        <xdr:cNvGrpSpPr/>
      </xdr:nvGrpSpPr>
      <xdr:grpSpPr>
        <a:xfrm>
          <a:off x="3092824" y="8604337"/>
          <a:ext cx="693374" cy="906959"/>
          <a:chOff x="5414" y="13174"/>
          <a:chExt cx="1045" cy="1678"/>
        </a:xfrm>
      </xdr:grpSpPr>
      <xdr:sp macro="" textlink="">
        <xdr:nvSpPr>
          <xdr:cNvPr id="11" name="Freeform 11">
            <a:extLst>
              <a:ext uri="{FF2B5EF4-FFF2-40B4-BE49-F238E27FC236}">
                <a16:creationId xmlns:a16="http://schemas.microsoft.com/office/drawing/2014/main" id="{2BD522BA-B5F0-9022-23C3-4F61E758C62B}"/>
              </a:ext>
            </a:extLst>
          </xdr:cNvPr>
          <xdr:cNvSpPr/>
        </xdr:nvSpPr>
        <xdr:spPr>
          <a:xfrm>
            <a:off x="5414" y="13174"/>
            <a:ext cx="985" cy="1678"/>
          </a:xfrm>
          <a:custGeom>
            <a:avLst/>
            <a:gdLst>
              <a:gd name="connisteX0" fmla="*/ 0 w 625604"/>
              <a:gd name="connsiteY0" fmla="*/ 783462 h 1070407"/>
              <a:gd name="connisteX1" fmla="*/ 127000 w 625604"/>
              <a:gd name="connsiteY1" fmla="*/ 493267 h 1070407"/>
              <a:gd name="connisteX2" fmla="*/ 217805 w 625604"/>
              <a:gd name="connsiteY2" fmla="*/ 326262 h 1070407"/>
              <a:gd name="connisteX3" fmla="*/ 312420 w 625604"/>
              <a:gd name="connsiteY3" fmla="*/ 192277 h 1070407"/>
              <a:gd name="connisteX4" fmla="*/ 348615 w 625604"/>
              <a:gd name="connsiteY4" fmla="*/ 177672 h 1070407"/>
              <a:gd name="connisteX5" fmla="*/ 348615 w 625604"/>
              <a:gd name="connsiteY5" fmla="*/ 253872 h 1070407"/>
              <a:gd name="connisteX6" fmla="*/ 243205 w 625604"/>
              <a:gd name="connsiteY6" fmla="*/ 486282 h 1070407"/>
              <a:gd name="connisteX7" fmla="*/ 406400 w 625604"/>
              <a:gd name="connsiteY7" fmla="*/ 192277 h 1070407"/>
              <a:gd name="connisteX8" fmla="*/ 406400 w 625604"/>
              <a:gd name="connsiteY8" fmla="*/ 333882 h 1070407"/>
              <a:gd name="connisteX9" fmla="*/ 300990 w 625604"/>
              <a:gd name="connsiteY9" fmla="*/ 645667 h 1070407"/>
              <a:gd name="connisteX10" fmla="*/ 185420 w 625604"/>
              <a:gd name="connsiteY10" fmla="*/ 928877 h 1070407"/>
              <a:gd name="connisteX11" fmla="*/ 120015 w 625604"/>
              <a:gd name="connsiteY11" fmla="*/ 1059052 h 1070407"/>
              <a:gd name="connisteX12" fmla="*/ 228600 w 625604"/>
              <a:gd name="connsiteY12" fmla="*/ 711072 h 1070407"/>
              <a:gd name="connisteX13" fmla="*/ 297815 w 625604"/>
              <a:gd name="connsiteY13" fmla="*/ 569467 h 1070407"/>
              <a:gd name="connisteX14" fmla="*/ 374015 w 625604"/>
              <a:gd name="connsiteY14" fmla="*/ 395477 h 1070407"/>
              <a:gd name="connisteX15" fmla="*/ 562610 w 625604"/>
              <a:gd name="connsiteY15" fmla="*/ 29082 h 1070407"/>
              <a:gd name="connisteX16" fmla="*/ 478790 w 625604"/>
              <a:gd name="connsiteY16" fmla="*/ 57657 h 1070407"/>
              <a:gd name="connisteX17" fmla="*/ 475615 w 625604"/>
              <a:gd name="connsiteY17" fmla="*/ 173862 h 1070407"/>
              <a:gd name="connisteX18" fmla="*/ 551815 w 625604"/>
              <a:gd name="connsiteY18" fmla="*/ 250062 h 1070407"/>
              <a:gd name="connisteX19" fmla="*/ 551815 w 625604"/>
              <a:gd name="connsiteY19" fmla="*/ 344677 h 1070407"/>
              <a:gd name="connisteX20" fmla="*/ 493395 w 625604"/>
              <a:gd name="connsiteY20" fmla="*/ 347852 h 1070407"/>
              <a:gd name="connisteX21" fmla="*/ 478790 w 625604"/>
              <a:gd name="connsiteY21" fmla="*/ 235457 h 1070407"/>
              <a:gd name="connisteX22" fmla="*/ 551815 w 625604"/>
              <a:gd name="connsiteY22" fmla="*/ 97662 h 1070407"/>
              <a:gd name="connisteX23" fmla="*/ 602615 w 625604"/>
              <a:gd name="connsiteY23" fmla="*/ 61467 h 1070407"/>
              <a:gd name="connisteX24" fmla="*/ 624205 w 625604"/>
              <a:gd name="connsiteY24" fmla="*/ 144652 h 1070407"/>
              <a:gd name="connisteX25" fmla="*/ 573405 w 625604"/>
              <a:gd name="connsiteY25" fmla="*/ 315467 h 1070407"/>
              <a:gd name="connisteX26" fmla="*/ 668020 w 625604"/>
              <a:gd name="connsiteY26" fmla="*/ 319277 h 1070407"/>
            </a:gdLst>
            <a:ahLst/>
            <a:cxnLst>
              <a:cxn ang="0">
                <a:pos x="connisteX0" y="connsiteY0"/>
              </a:cxn>
              <a:cxn ang="0">
                <a:pos x="connisteX1" y="connsiteY1"/>
              </a:cxn>
              <a:cxn ang="0">
                <a:pos x="connisteX2" y="connsiteY2"/>
              </a:cxn>
              <a:cxn ang="0">
                <a:pos x="connisteX3" y="connsiteY3"/>
              </a:cxn>
              <a:cxn ang="0">
                <a:pos x="connisteX4" y="connsiteY4"/>
              </a:cxn>
              <a:cxn ang="0">
                <a:pos x="connisteX5" y="connsiteY5"/>
              </a:cxn>
              <a:cxn ang="0">
                <a:pos x="connisteX6" y="connsiteY6"/>
              </a:cxn>
              <a:cxn ang="0">
                <a:pos x="connisteX7" y="connsiteY7"/>
              </a:cxn>
              <a:cxn ang="0">
                <a:pos x="connisteX8" y="connsiteY8"/>
              </a:cxn>
              <a:cxn ang="0">
                <a:pos x="connisteX9" y="connsiteY9"/>
              </a:cxn>
              <a:cxn ang="0">
                <a:pos x="connisteX10" y="connsiteY10"/>
              </a:cxn>
              <a:cxn ang="0">
                <a:pos x="connisteX11" y="connsiteY11"/>
              </a:cxn>
              <a:cxn ang="0">
                <a:pos x="connisteX12" y="connsiteY12"/>
              </a:cxn>
              <a:cxn ang="0">
                <a:pos x="connisteX13" y="connsiteY13"/>
              </a:cxn>
              <a:cxn ang="0">
                <a:pos x="connisteX14" y="connsiteY14"/>
              </a:cxn>
              <a:cxn ang="0">
                <a:pos x="connisteX15" y="connsiteY15"/>
              </a:cxn>
              <a:cxn ang="0">
                <a:pos x="connisteX16" y="connsiteY16"/>
              </a:cxn>
              <a:cxn ang="0">
                <a:pos x="connisteX17" y="connsiteY17"/>
              </a:cxn>
              <a:cxn ang="0">
                <a:pos x="connisteX18" y="connsiteY18"/>
              </a:cxn>
              <a:cxn ang="0">
                <a:pos x="connisteX19" y="connsiteY19"/>
              </a:cxn>
              <a:cxn ang="0">
                <a:pos x="connisteX20" y="connsiteY20"/>
              </a:cxn>
              <a:cxn ang="0">
                <a:pos x="connisteX21" y="connsiteY21"/>
              </a:cxn>
              <a:cxn ang="0">
                <a:pos x="connisteX22" y="connsiteY22"/>
              </a:cxn>
              <a:cxn ang="0">
                <a:pos x="connisteX23" y="connsiteY23"/>
              </a:cxn>
              <a:cxn ang="0">
                <a:pos x="connisteX24" y="connsiteY24"/>
              </a:cxn>
              <a:cxn ang="0">
                <a:pos x="connisteX25" y="connsiteY25"/>
              </a:cxn>
              <a:cxn ang="0">
                <a:pos x="connisteX26" y="connsiteY26"/>
              </a:cxn>
            </a:cxnLst>
            <a:rect l="l" t="t" r="r" b="b"/>
            <a:pathLst>
              <a:path w="625604" h="1070407">
                <a:moveTo>
                  <a:pt x="0" y="783463"/>
                </a:moveTo>
                <a:cubicBezTo>
                  <a:pt x="23495" y="728853"/>
                  <a:pt x="83185" y="584708"/>
                  <a:pt x="127000" y="493268"/>
                </a:cubicBezTo>
                <a:cubicBezTo>
                  <a:pt x="170815" y="401828"/>
                  <a:pt x="180975" y="386588"/>
                  <a:pt x="217805" y="326263"/>
                </a:cubicBezTo>
                <a:cubicBezTo>
                  <a:pt x="254635" y="265938"/>
                  <a:pt x="286385" y="222123"/>
                  <a:pt x="312420" y="192278"/>
                </a:cubicBezTo>
                <a:cubicBezTo>
                  <a:pt x="338455" y="162433"/>
                  <a:pt x="341630" y="165608"/>
                  <a:pt x="348615" y="177673"/>
                </a:cubicBezTo>
                <a:cubicBezTo>
                  <a:pt x="355600" y="189738"/>
                  <a:pt x="369570" y="192278"/>
                  <a:pt x="348615" y="253873"/>
                </a:cubicBezTo>
                <a:cubicBezTo>
                  <a:pt x="327660" y="315468"/>
                  <a:pt x="231775" y="498348"/>
                  <a:pt x="243205" y="486283"/>
                </a:cubicBezTo>
                <a:cubicBezTo>
                  <a:pt x="254635" y="474218"/>
                  <a:pt x="374015" y="222758"/>
                  <a:pt x="406400" y="192278"/>
                </a:cubicBezTo>
                <a:cubicBezTo>
                  <a:pt x="438785" y="161798"/>
                  <a:pt x="427355" y="243078"/>
                  <a:pt x="406400" y="333883"/>
                </a:cubicBezTo>
                <a:cubicBezTo>
                  <a:pt x="385445" y="424688"/>
                  <a:pt x="345440" y="526923"/>
                  <a:pt x="300990" y="645668"/>
                </a:cubicBezTo>
                <a:cubicBezTo>
                  <a:pt x="256540" y="764413"/>
                  <a:pt x="221615" y="846328"/>
                  <a:pt x="185420" y="928878"/>
                </a:cubicBezTo>
                <a:cubicBezTo>
                  <a:pt x="149225" y="1011428"/>
                  <a:pt x="111125" y="1102868"/>
                  <a:pt x="120015" y="1059053"/>
                </a:cubicBezTo>
                <a:cubicBezTo>
                  <a:pt x="128905" y="1015238"/>
                  <a:pt x="193040" y="808863"/>
                  <a:pt x="228600" y="711073"/>
                </a:cubicBezTo>
                <a:cubicBezTo>
                  <a:pt x="264160" y="613283"/>
                  <a:pt x="268605" y="632333"/>
                  <a:pt x="297815" y="569468"/>
                </a:cubicBezTo>
                <a:cubicBezTo>
                  <a:pt x="327025" y="506603"/>
                  <a:pt x="321310" y="503428"/>
                  <a:pt x="374015" y="395478"/>
                </a:cubicBezTo>
                <a:cubicBezTo>
                  <a:pt x="426720" y="287528"/>
                  <a:pt x="541655" y="96393"/>
                  <a:pt x="562610" y="29083"/>
                </a:cubicBezTo>
                <a:cubicBezTo>
                  <a:pt x="583565" y="-38227"/>
                  <a:pt x="495935" y="28448"/>
                  <a:pt x="478790" y="57658"/>
                </a:cubicBezTo>
                <a:cubicBezTo>
                  <a:pt x="461645" y="86868"/>
                  <a:pt x="461010" y="135128"/>
                  <a:pt x="475615" y="173863"/>
                </a:cubicBezTo>
                <a:cubicBezTo>
                  <a:pt x="490220" y="212598"/>
                  <a:pt x="536575" y="215773"/>
                  <a:pt x="551815" y="250063"/>
                </a:cubicBezTo>
                <a:cubicBezTo>
                  <a:pt x="567055" y="284353"/>
                  <a:pt x="563245" y="324993"/>
                  <a:pt x="551815" y="344678"/>
                </a:cubicBezTo>
                <a:cubicBezTo>
                  <a:pt x="540385" y="364363"/>
                  <a:pt x="508000" y="369443"/>
                  <a:pt x="493395" y="347853"/>
                </a:cubicBezTo>
                <a:cubicBezTo>
                  <a:pt x="478790" y="326263"/>
                  <a:pt x="467360" y="285623"/>
                  <a:pt x="478790" y="235458"/>
                </a:cubicBezTo>
                <a:cubicBezTo>
                  <a:pt x="490220" y="185293"/>
                  <a:pt x="527050" y="132588"/>
                  <a:pt x="551815" y="97663"/>
                </a:cubicBezTo>
                <a:cubicBezTo>
                  <a:pt x="576580" y="62738"/>
                  <a:pt x="588010" y="51943"/>
                  <a:pt x="602615" y="61468"/>
                </a:cubicBezTo>
                <a:cubicBezTo>
                  <a:pt x="617220" y="70993"/>
                  <a:pt x="629920" y="93853"/>
                  <a:pt x="624205" y="144653"/>
                </a:cubicBezTo>
                <a:cubicBezTo>
                  <a:pt x="618490" y="195453"/>
                  <a:pt x="564515" y="280543"/>
                  <a:pt x="573405" y="315468"/>
                </a:cubicBezTo>
              </a:path>
            </a:pathLst>
          </a:cu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12" name="Arc 11">
            <a:extLst>
              <a:ext uri="{FF2B5EF4-FFF2-40B4-BE49-F238E27FC236}">
                <a16:creationId xmlns:a16="http://schemas.microsoft.com/office/drawing/2014/main" id="{87F78EE3-5311-AA64-C6DE-5AB34ACEE5DD}"/>
              </a:ext>
            </a:extLst>
          </xdr:cNvPr>
          <xdr:cNvSpPr/>
        </xdr:nvSpPr>
        <xdr:spPr>
          <a:xfrm rot="6480000">
            <a:off x="6201" y="13395"/>
            <a:ext cx="302" cy="214"/>
          </a:xfrm>
          <a:prstGeom prst="arc">
            <a:avLst>
              <a:gd name="adj1" fmla="val 17174810"/>
              <a:gd name="adj2" fmla="val 0"/>
            </a:avLst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146907</xdr:colOff>
      <xdr:row>1</xdr:row>
      <xdr:rowOff>5582</xdr:rowOff>
    </xdr:from>
    <xdr:to>
      <xdr:col>4</xdr:col>
      <xdr:colOff>126936</xdr:colOff>
      <xdr:row>3</xdr:row>
      <xdr:rowOff>96233</xdr:rowOff>
    </xdr:to>
    <xdr:pic>
      <xdr:nvPicPr>
        <xdr:cNvPr id="2" name="LOGO DP">
          <a:extLst>
            <a:ext uri="{FF2B5EF4-FFF2-40B4-BE49-F238E27FC236}">
              <a16:creationId xmlns:a16="http://schemas.microsoft.com/office/drawing/2014/main" id="{E9200F6C-176A-4B4D-A46D-553B34CB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94557" y="196082"/>
          <a:ext cx="722979" cy="452601"/>
        </a:xfrm>
        <a:prstGeom prst="rect">
          <a:avLst/>
        </a:prstGeom>
        <a:noFill/>
        <a:ln w="9525">
          <a:noFill/>
          <a:round/>
        </a:ln>
        <a:effectLst/>
      </xdr:spPr>
    </xdr:pic>
    <xdr:clientData/>
  </xdr:twoCellAnchor>
  <xdr:twoCellAnchor>
    <xdr:from>
      <xdr:col>1</xdr:col>
      <xdr:colOff>69850</xdr:colOff>
      <xdr:row>3</xdr:row>
      <xdr:rowOff>76835</xdr:rowOff>
    </xdr:from>
    <xdr:to>
      <xdr:col>4</xdr:col>
      <xdr:colOff>200025</xdr:colOff>
      <xdr:row>5</xdr:row>
      <xdr:rowOff>143510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97516E-E18B-4433-903B-67172BFDB911}"/>
            </a:ext>
          </a:extLst>
        </xdr:cNvPr>
        <xdr:cNvSpPr txBox="1"/>
      </xdr:nvSpPr>
      <xdr:spPr>
        <a:xfrm>
          <a:off x="317500" y="629285"/>
          <a:ext cx="8731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500" b="1"/>
            <a:t>PT. DHARMA ELECTRINDO</a:t>
          </a:r>
        </a:p>
        <a:p>
          <a:pPr algn="ctr"/>
          <a:r>
            <a:rPr lang="en-US" sz="500" b="1"/>
            <a:t>MANUFACTURING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146907</xdr:colOff>
      <xdr:row>1</xdr:row>
      <xdr:rowOff>5582</xdr:rowOff>
    </xdr:from>
    <xdr:to>
      <xdr:col>4</xdr:col>
      <xdr:colOff>126936</xdr:colOff>
      <xdr:row>3</xdr:row>
      <xdr:rowOff>96233</xdr:rowOff>
    </xdr:to>
    <xdr:pic>
      <xdr:nvPicPr>
        <xdr:cNvPr id="2" name="LOGO DP">
          <a:extLst>
            <a:ext uri="{FF2B5EF4-FFF2-40B4-BE49-F238E27FC236}">
              <a16:creationId xmlns:a16="http://schemas.microsoft.com/office/drawing/2014/main" id="{D635F30D-B878-482E-B2C6-05D64941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94557" y="205607"/>
          <a:ext cx="722979" cy="452601"/>
        </a:xfrm>
        <a:prstGeom prst="rect">
          <a:avLst/>
        </a:prstGeom>
        <a:noFill/>
        <a:ln w="9525">
          <a:noFill/>
          <a:round/>
        </a:ln>
        <a:effectLst/>
      </xdr:spPr>
    </xdr:pic>
    <xdr:clientData/>
  </xdr:twoCellAnchor>
  <xdr:twoCellAnchor>
    <xdr:from>
      <xdr:col>1</xdr:col>
      <xdr:colOff>69850</xdr:colOff>
      <xdr:row>3</xdr:row>
      <xdr:rowOff>76835</xdr:rowOff>
    </xdr:from>
    <xdr:to>
      <xdr:col>4</xdr:col>
      <xdr:colOff>200025</xdr:colOff>
      <xdr:row>5</xdr:row>
      <xdr:rowOff>143510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CF0D0-D0DD-40FA-9A7E-462F2D945EBE}"/>
            </a:ext>
          </a:extLst>
        </xdr:cNvPr>
        <xdr:cNvSpPr txBox="1"/>
      </xdr:nvSpPr>
      <xdr:spPr>
        <a:xfrm>
          <a:off x="317500" y="638810"/>
          <a:ext cx="8731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500" b="1"/>
            <a:t>PT. DHARMA ELECTRINDO</a:t>
          </a:r>
        </a:p>
        <a:p>
          <a:pPr algn="ctr"/>
          <a:r>
            <a:rPr lang="en-US" sz="500" b="1"/>
            <a:t>MANUFACTURING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5"/>
  <sheetViews>
    <sheetView showGridLines="0" zoomScale="85" zoomScaleNormal="85" workbookViewId="0">
      <selection activeCell="W19" sqref="W19"/>
    </sheetView>
  </sheetViews>
  <sheetFormatPr defaultColWidth="3.7109375" defaultRowHeight="15"/>
  <cols>
    <col min="1" max="10" width="3.7109375" style="1"/>
    <col min="11" max="11" width="3.7109375" style="1" customWidth="1"/>
    <col min="12" max="17" width="3.7109375" style="1"/>
    <col min="18" max="18" width="4.28515625" style="1" customWidth="1"/>
    <col min="19" max="19" width="6.85546875" style="1" customWidth="1"/>
    <col min="20" max="22" width="4.7109375" style="1" customWidth="1"/>
    <col min="23" max="16384" width="3.7109375" style="1"/>
  </cols>
  <sheetData>
    <row r="1" spans="1:2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11"/>
    </row>
    <row r="2" spans="1:23" ht="14.45" customHeight="1">
      <c r="A2" s="4"/>
      <c r="B2" s="15"/>
      <c r="C2" s="10"/>
      <c r="D2" s="10"/>
      <c r="E2" s="16"/>
      <c r="F2" s="77" t="s">
        <v>0</v>
      </c>
      <c r="G2" s="78"/>
      <c r="H2" s="78"/>
      <c r="I2" s="78"/>
      <c r="J2" s="78"/>
      <c r="K2" s="78"/>
      <c r="L2" s="78"/>
      <c r="M2" s="79"/>
      <c r="N2" s="68" t="s">
        <v>1</v>
      </c>
      <c r="O2" s="69"/>
      <c r="P2" s="70"/>
      <c r="Q2" s="22" t="s">
        <v>2</v>
      </c>
      <c r="R2" s="23"/>
      <c r="S2" s="44" t="s">
        <v>65</v>
      </c>
      <c r="T2" s="45"/>
      <c r="U2" s="45"/>
      <c r="V2" s="46"/>
      <c r="W2" s="13"/>
    </row>
    <row r="3" spans="1:23" ht="14.45" customHeight="1">
      <c r="A3" s="4"/>
      <c r="B3" s="17"/>
      <c r="E3" s="18"/>
      <c r="F3" s="80"/>
      <c r="G3" s="81"/>
      <c r="H3" s="81"/>
      <c r="I3" s="81"/>
      <c r="J3" s="81"/>
      <c r="K3" s="81"/>
      <c r="L3" s="81"/>
      <c r="M3" s="82"/>
      <c r="N3" s="71"/>
      <c r="O3" s="72"/>
      <c r="P3" s="73"/>
      <c r="Q3" s="24" t="s">
        <v>3</v>
      </c>
      <c r="R3" s="12"/>
      <c r="S3" s="47">
        <v>45716</v>
      </c>
      <c r="T3" s="45"/>
      <c r="U3" s="45"/>
      <c r="V3" s="46"/>
      <c r="W3" s="13"/>
    </row>
    <row r="4" spans="1:23" ht="14.45" customHeight="1">
      <c r="A4" s="4"/>
      <c r="B4" s="17"/>
      <c r="E4" s="18"/>
      <c r="F4" s="80"/>
      <c r="G4" s="81"/>
      <c r="H4" s="81"/>
      <c r="I4" s="81"/>
      <c r="J4" s="81"/>
      <c r="K4" s="81"/>
      <c r="L4" s="81"/>
      <c r="M4" s="82"/>
      <c r="N4" s="71"/>
      <c r="O4" s="72"/>
      <c r="P4" s="73"/>
      <c r="Q4" s="22" t="s">
        <v>4</v>
      </c>
      <c r="R4" s="23"/>
      <c r="S4" s="48" t="s">
        <v>54</v>
      </c>
      <c r="T4" s="49"/>
      <c r="U4" s="49"/>
      <c r="V4" s="50"/>
      <c r="W4" s="13"/>
    </row>
    <row r="5" spans="1:23" ht="14.45" customHeight="1">
      <c r="A5" s="4"/>
      <c r="B5" s="19"/>
      <c r="C5" s="9"/>
      <c r="D5" s="9"/>
      <c r="E5" s="20"/>
      <c r="F5" s="83"/>
      <c r="G5" s="84"/>
      <c r="H5" s="84"/>
      <c r="I5" s="84"/>
      <c r="J5" s="84"/>
      <c r="K5" s="84"/>
      <c r="L5" s="84"/>
      <c r="M5" s="85"/>
      <c r="N5" s="74"/>
      <c r="O5" s="75"/>
      <c r="P5" s="76"/>
      <c r="Q5" s="25" t="s">
        <v>5</v>
      </c>
      <c r="R5" s="26"/>
      <c r="S5" s="44" t="s">
        <v>6</v>
      </c>
      <c r="T5" s="45"/>
      <c r="U5" s="45"/>
      <c r="V5" s="46"/>
      <c r="W5" s="13"/>
    </row>
    <row r="6" spans="1:23">
      <c r="A6" s="4"/>
      <c r="W6" s="13"/>
    </row>
    <row r="7" spans="1:23">
      <c r="A7" s="4"/>
      <c r="B7" s="1" t="s">
        <v>7</v>
      </c>
      <c r="W7" s="13"/>
    </row>
    <row r="8" spans="1:23">
      <c r="A8" s="4"/>
      <c r="W8" s="13"/>
    </row>
    <row r="9" spans="1:23">
      <c r="A9" s="4"/>
      <c r="C9" s="5" t="s">
        <v>8</v>
      </c>
      <c r="D9" s="1" t="s">
        <v>9</v>
      </c>
      <c r="W9" s="13"/>
    </row>
    <row r="10" spans="1:23">
      <c r="A10" s="4"/>
      <c r="W10" s="13"/>
    </row>
    <row r="11" spans="1:23">
      <c r="A11" s="4"/>
      <c r="D11" s="30" t="s">
        <v>10</v>
      </c>
      <c r="E11" s="1" t="s">
        <v>11</v>
      </c>
      <c r="J11" s="8" t="s">
        <v>12</v>
      </c>
      <c r="K11" s="38" t="s">
        <v>59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3"/>
    </row>
    <row r="12" spans="1:23">
      <c r="A12" s="4"/>
      <c r="D12" s="30" t="s">
        <v>13</v>
      </c>
      <c r="E12" s="1" t="s">
        <v>14</v>
      </c>
      <c r="J12" s="8" t="s">
        <v>12</v>
      </c>
      <c r="K12" s="41" t="s">
        <v>66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13"/>
    </row>
    <row r="13" spans="1:23">
      <c r="A13" s="4"/>
      <c r="D13" s="30" t="s">
        <v>13</v>
      </c>
      <c r="E13" s="1" t="s">
        <v>15</v>
      </c>
      <c r="J13" s="8" t="s">
        <v>12</v>
      </c>
      <c r="K13" s="39" t="s">
        <v>60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13"/>
    </row>
    <row r="14" spans="1:23" ht="15" customHeight="1">
      <c r="A14" s="4"/>
      <c r="D14" s="30" t="s">
        <v>16</v>
      </c>
      <c r="E14" s="1" t="s">
        <v>17</v>
      </c>
      <c r="J14" s="8" t="s">
        <v>12</v>
      </c>
      <c r="K14" s="43" t="s">
        <v>72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13"/>
    </row>
    <row r="15" spans="1:23" ht="15" customHeight="1">
      <c r="A15" s="4"/>
      <c r="D15" s="30" t="s">
        <v>18</v>
      </c>
      <c r="E15" s="1" t="s">
        <v>19</v>
      </c>
      <c r="J15" s="8" t="s">
        <v>12</v>
      </c>
      <c r="K15" s="51">
        <v>1250</v>
      </c>
      <c r="L15" s="52"/>
      <c r="M15" s="52"/>
      <c r="N15" s="1" t="s">
        <v>20</v>
      </c>
      <c r="P15" s="1" t="s">
        <v>21</v>
      </c>
      <c r="Q15" s="32" t="s">
        <v>57</v>
      </c>
      <c r="W15" s="13"/>
    </row>
    <row r="16" spans="1:23" ht="15" customHeight="1">
      <c r="A16" s="4"/>
      <c r="D16" s="30" t="s">
        <v>22</v>
      </c>
      <c r="E16" s="1" t="s">
        <v>23</v>
      </c>
      <c r="J16" s="8" t="s">
        <v>12</v>
      </c>
      <c r="L16" s="31" t="s">
        <v>56</v>
      </c>
      <c r="W16" s="13"/>
    </row>
    <row r="17" spans="1:23" ht="15" customHeight="1">
      <c r="A17" s="4"/>
      <c r="J17" s="8"/>
      <c r="L17" s="1" t="s">
        <v>49</v>
      </c>
      <c r="W17" s="13"/>
    </row>
    <row r="18" spans="1:23" ht="15" customHeight="1">
      <c r="A18" s="4"/>
      <c r="J18" s="8"/>
      <c r="W18" s="13"/>
    </row>
    <row r="19" spans="1:23" ht="15" customHeight="1">
      <c r="A19" s="4"/>
      <c r="C19" s="5" t="s">
        <v>24</v>
      </c>
      <c r="D19" s="5" t="s">
        <v>25</v>
      </c>
      <c r="J19" s="8"/>
      <c r="W19" s="13"/>
    </row>
    <row r="20" spans="1:23" ht="15" customHeight="1">
      <c r="A20" s="4"/>
      <c r="J20" s="8"/>
      <c r="W20" s="13"/>
    </row>
    <row r="21" spans="1:23" ht="15" customHeight="1">
      <c r="A21" s="4"/>
      <c r="D21" s="30" t="s">
        <v>10</v>
      </c>
      <c r="E21" s="1" t="s">
        <v>26</v>
      </c>
      <c r="J21" s="8"/>
      <c r="K21" s="8" t="s">
        <v>12</v>
      </c>
      <c r="L21" s="53" t="s">
        <v>69</v>
      </c>
      <c r="M21" s="54"/>
      <c r="N21" s="55" t="s">
        <v>68</v>
      </c>
      <c r="O21" s="54"/>
      <c r="P21" s="56" t="s">
        <v>58</v>
      </c>
      <c r="Q21" s="54"/>
      <c r="S21" s="1" t="s">
        <v>27</v>
      </c>
      <c r="W21" s="13"/>
    </row>
    <row r="22" spans="1:23" ht="15" customHeight="1">
      <c r="A22" s="4"/>
      <c r="D22" s="30" t="s">
        <v>13</v>
      </c>
      <c r="E22" s="1" t="s">
        <v>28</v>
      </c>
      <c r="J22" s="8"/>
      <c r="K22" s="8" t="s">
        <v>12</v>
      </c>
      <c r="L22" s="53" t="s">
        <v>69</v>
      </c>
      <c r="M22" s="54"/>
      <c r="N22" s="55" t="s">
        <v>68</v>
      </c>
      <c r="O22" s="54"/>
      <c r="P22" s="56" t="s">
        <v>58</v>
      </c>
      <c r="Q22" s="54"/>
      <c r="S22" s="1" t="s">
        <v>27</v>
      </c>
      <c r="W22" s="13"/>
    </row>
    <row r="23" spans="1:23" ht="15" customHeight="1">
      <c r="A23" s="4"/>
      <c r="D23" s="30" t="s">
        <v>16</v>
      </c>
      <c r="E23" s="1" t="s">
        <v>29</v>
      </c>
      <c r="J23" s="8"/>
      <c r="K23" s="8" t="s">
        <v>12</v>
      </c>
      <c r="L23" s="53" t="s">
        <v>70</v>
      </c>
      <c r="M23" s="54"/>
      <c r="N23" s="55" t="s">
        <v>68</v>
      </c>
      <c r="O23" s="54"/>
      <c r="P23" s="56" t="s">
        <v>58</v>
      </c>
      <c r="Q23" s="54"/>
      <c r="S23" s="1" t="s">
        <v>27</v>
      </c>
      <c r="W23" s="13"/>
    </row>
    <row r="24" spans="1:23" ht="15" customHeight="1">
      <c r="A24" s="4"/>
      <c r="D24" s="30" t="s">
        <v>18</v>
      </c>
      <c r="E24" s="1" t="s">
        <v>30</v>
      </c>
      <c r="J24" s="8"/>
      <c r="K24" s="8" t="s">
        <v>12</v>
      </c>
      <c r="L24" s="53" t="s">
        <v>70</v>
      </c>
      <c r="M24" s="54"/>
      <c r="N24" s="55" t="s">
        <v>68</v>
      </c>
      <c r="O24" s="54"/>
      <c r="P24" s="56" t="s">
        <v>58</v>
      </c>
      <c r="Q24" s="54"/>
      <c r="S24" s="1" t="s">
        <v>27</v>
      </c>
      <c r="W24" s="13"/>
    </row>
    <row r="25" spans="1:23" ht="15" customHeight="1">
      <c r="A25" s="4"/>
      <c r="D25" s="30" t="s">
        <v>22</v>
      </c>
      <c r="E25" s="1" t="s">
        <v>31</v>
      </c>
      <c r="J25" s="8"/>
      <c r="K25" s="8" t="s">
        <v>12</v>
      </c>
      <c r="L25" s="53" t="s">
        <v>70</v>
      </c>
      <c r="M25" s="54"/>
      <c r="N25" s="55" t="s">
        <v>68</v>
      </c>
      <c r="O25" s="54"/>
      <c r="P25" s="56" t="s">
        <v>58</v>
      </c>
      <c r="Q25" s="54"/>
      <c r="S25" s="1" t="s">
        <v>27</v>
      </c>
      <c r="W25" s="13"/>
    </row>
    <row r="26" spans="1:23">
      <c r="A26" s="4"/>
      <c r="L26" s="57"/>
      <c r="M26" s="57"/>
      <c r="N26" s="57"/>
      <c r="O26" s="57"/>
      <c r="P26" s="57"/>
      <c r="Q26" s="57"/>
      <c r="W26" s="13"/>
    </row>
    <row r="27" spans="1:23">
      <c r="A27" s="4"/>
      <c r="C27" s="5" t="s">
        <v>32</v>
      </c>
      <c r="D27" s="5" t="s">
        <v>33</v>
      </c>
      <c r="W27" s="13"/>
    </row>
    <row r="28" spans="1:23">
      <c r="A28" s="4"/>
      <c r="W28" s="13"/>
    </row>
    <row r="29" spans="1:23">
      <c r="A29" s="4"/>
      <c r="D29" s="30" t="s">
        <v>10</v>
      </c>
      <c r="E29" s="32" t="s">
        <v>55</v>
      </c>
      <c r="K29" s="8" t="s">
        <v>12</v>
      </c>
      <c r="L29" s="60"/>
      <c r="M29" s="61"/>
      <c r="N29" s="58"/>
      <c r="O29" s="59"/>
      <c r="P29" s="62"/>
      <c r="Q29" s="61"/>
      <c r="S29" s="32" t="s">
        <v>27</v>
      </c>
      <c r="W29" s="13"/>
    </row>
    <row r="30" spans="1:23">
      <c r="A30" s="4"/>
      <c r="D30" s="30" t="s">
        <v>13</v>
      </c>
      <c r="E30" s="32" t="s">
        <v>50</v>
      </c>
      <c r="K30" s="8" t="s">
        <v>12</v>
      </c>
      <c r="L30" s="60"/>
      <c r="M30" s="61"/>
      <c r="N30" s="58"/>
      <c r="O30" s="59"/>
      <c r="P30" s="62"/>
      <c r="Q30" s="61"/>
      <c r="S30" s="32" t="s">
        <v>27</v>
      </c>
      <c r="W30" s="13"/>
    </row>
    <row r="31" spans="1:23">
      <c r="A31" s="4"/>
      <c r="D31" s="30" t="s">
        <v>16</v>
      </c>
      <c r="E31" s="32" t="s">
        <v>51</v>
      </c>
      <c r="K31" s="8" t="s">
        <v>12</v>
      </c>
      <c r="L31" s="60"/>
      <c r="M31" s="61"/>
      <c r="N31" s="58"/>
      <c r="O31" s="59"/>
      <c r="P31" s="58"/>
      <c r="Q31" s="59"/>
      <c r="S31" s="32" t="s">
        <v>27</v>
      </c>
      <c r="W31" s="13"/>
    </row>
    <row r="32" spans="1:23">
      <c r="A32" s="4"/>
      <c r="D32" s="30" t="s">
        <v>16</v>
      </c>
      <c r="E32" s="32" t="s">
        <v>52</v>
      </c>
      <c r="K32" s="8" t="s">
        <v>12</v>
      </c>
      <c r="L32" s="60"/>
      <c r="M32" s="61"/>
      <c r="N32" s="58"/>
      <c r="O32" s="59"/>
      <c r="P32" s="58"/>
      <c r="Q32" s="59"/>
      <c r="S32" s="32" t="s">
        <v>27</v>
      </c>
      <c r="W32" s="13"/>
    </row>
    <row r="33" spans="1:23">
      <c r="A33" s="4"/>
      <c r="D33" s="30" t="s">
        <v>18</v>
      </c>
      <c r="E33" s="32" t="s">
        <v>53</v>
      </c>
      <c r="K33" s="8" t="s">
        <v>12</v>
      </c>
      <c r="L33" s="60"/>
      <c r="M33" s="61"/>
      <c r="N33" s="99" t="s">
        <v>71</v>
      </c>
      <c r="O33" s="59"/>
      <c r="P33" s="99" t="s">
        <v>58</v>
      </c>
      <c r="Q33" s="59"/>
      <c r="S33" s="32" t="s">
        <v>27</v>
      </c>
      <c r="W33" s="13"/>
    </row>
    <row r="34" spans="1:23">
      <c r="A34" s="4"/>
      <c r="W34" s="13"/>
    </row>
    <row r="35" spans="1:23">
      <c r="A35" s="4"/>
      <c r="W35" s="13"/>
    </row>
    <row r="36" spans="1:23">
      <c r="A36" s="4"/>
      <c r="C36" s="5"/>
      <c r="D36" s="5"/>
      <c r="W36" s="13"/>
    </row>
    <row r="37" spans="1:23">
      <c r="A37" s="4"/>
      <c r="W37" s="13"/>
    </row>
    <row r="38" spans="1:23">
      <c r="A38" s="4"/>
      <c r="W38" s="13"/>
    </row>
    <row r="39" spans="1:23">
      <c r="A39" s="4"/>
      <c r="W39" s="13"/>
    </row>
    <row r="40" spans="1:23">
      <c r="A40" s="4"/>
      <c r="W40" s="13"/>
    </row>
    <row r="41" spans="1:23">
      <c r="A41" s="4"/>
      <c r="W41" s="13"/>
    </row>
    <row r="42" spans="1:23">
      <c r="A42" s="4"/>
      <c r="W42" s="13"/>
    </row>
    <row r="43" spans="1:23">
      <c r="A43" s="4"/>
      <c r="S43" s="42" t="s">
        <v>67</v>
      </c>
      <c r="T43" s="9"/>
      <c r="U43" s="9"/>
      <c r="V43" s="27"/>
      <c r="W43" s="13"/>
    </row>
    <row r="44" spans="1:23">
      <c r="A44" s="4"/>
      <c r="W44" s="13"/>
    </row>
    <row r="45" spans="1:23">
      <c r="A45" s="4"/>
      <c r="M45" s="94" t="s">
        <v>34</v>
      </c>
      <c r="N45" s="94"/>
      <c r="O45" s="94"/>
      <c r="P45" s="94"/>
      <c r="Q45" s="94" t="s">
        <v>35</v>
      </c>
      <c r="R45" s="94"/>
      <c r="S45" s="94"/>
      <c r="T45" s="60" t="s">
        <v>36</v>
      </c>
      <c r="U45" s="95"/>
      <c r="V45" s="61"/>
      <c r="W45" s="13"/>
    </row>
    <row r="46" spans="1:23">
      <c r="A46" s="4"/>
      <c r="M46" s="94"/>
      <c r="N46" s="94"/>
      <c r="O46" s="94"/>
      <c r="P46" s="94"/>
      <c r="Q46" s="86"/>
      <c r="R46" s="87"/>
      <c r="S46" s="88"/>
      <c r="T46" s="28"/>
      <c r="U46" s="8"/>
      <c r="V46" s="29"/>
      <c r="W46" s="13"/>
    </row>
    <row r="47" spans="1:23">
      <c r="A47" s="4"/>
      <c r="M47" s="94"/>
      <c r="N47" s="94"/>
      <c r="O47" s="94"/>
      <c r="P47" s="94"/>
      <c r="Q47" s="89"/>
      <c r="R47" s="63"/>
      <c r="S47" s="90"/>
      <c r="T47" s="17"/>
      <c r="V47" s="18"/>
      <c r="W47" s="13"/>
    </row>
    <row r="48" spans="1:23">
      <c r="A48" s="4"/>
      <c r="M48" s="94"/>
      <c r="N48" s="94"/>
      <c r="O48" s="94"/>
      <c r="P48" s="94"/>
      <c r="Q48" s="91"/>
      <c r="R48" s="92"/>
      <c r="S48" s="93"/>
      <c r="T48" s="17"/>
      <c r="V48" s="18"/>
      <c r="W48" s="13"/>
    </row>
    <row r="49" spans="1:23">
      <c r="A49" s="4"/>
      <c r="M49" s="64" t="s">
        <v>37</v>
      </c>
      <c r="N49" s="64"/>
      <c r="O49" s="64"/>
      <c r="P49" s="64"/>
      <c r="Q49" s="64" t="s">
        <v>38</v>
      </c>
      <c r="R49" s="64"/>
      <c r="S49" s="64"/>
      <c r="T49" s="96" t="s">
        <v>39</v>
      </c>
      <c r="U49" s="97"/>
      <c r="V49" s="98"/>
      <c r="W49" s="13"/>
    </row>
    <row r="50" spans="1:23">
      <c r="A50" s="4"/>
      <c r="B50" s="63"/>
      <c r="C50" s="63"/>
      <c r="D50" s="63"/>
      <c r="E50" s="63"/>
      <c r="F50" s="63"/>
      <c r="G50" s="63"/>
      <c r="H50" s="63"/>
      <c r="I50" s="63"/>
      <c r="J50" s="63"/>
      <c r="M50" s="64" t="s">
        <v>40</v>
      </c>
      <c r="N50" s="64"/>
      <c r="O50" s="64"/>
      <c r="P50" s="64"/>
      <c r="Q50" s="64" t="s">
        <v>41</v>
      </c>
      <c r="R50" s="64"/>
      <c r="S50" s="64"/>
      <c r="T50" s="65" t="s">
        <v>42</v>
      </c>
      <c r="U50" s="66"/>
      <c r="V50" s="67"/>
      <c r="W50" s="13"/>
    </row>
    <row r="51" spans="1:23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14"/>
    </row>
    <row r="52" spans="1:23">
      <c r="A52" s="4" t="s">
        <v>43</v>
      </c>
      <c r="W52" s="13"/>
    </row>
    <row r="53" spans="1:23">
      <c r="A53" s="4" t="s">
        <v>44</v>
      </c>
      <c r="W53" s="13"/>
    </row>
    <row r="54" spans="1:23">
      <c r="A54" s="6" t="s">
        <v>45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4"/>
    </row>
    <row r="55" spans="1:23">
      <c r="A55" s="1" t="s">
        <v>46</v>
      </c>
    </row>
  </sheetData>
  <mergeCells count="54">
    <mergeCell ref="T50:V50"/>
    <mergeCell ref="N2:P5"/>
    <mergeCell ref="F2:M5"/>
    <mergeCell ref="Q46:S48"/>
    <mergeCell ref="M46:P48"/>
    <mergeCell ref="M45:P45"/>
    <mergeCell ref="Q45:S45"/>
    <mergeCell ref="T45:V45"/>
    <mergeCell ref="M49:P49"/>
    <mergeCell ref="Q49:S49"/>
    <mergeCell ref="T49:V49"/>
    <mergeCell ref="L33:M33"/>
    <mergeCell ref="N33:O33"/>
    <mergeCell ref="P33:Q33"/>
    <mergeCell ref="L31:M31"/>
    <mergeCell ref="N31:O31"/>
    <mergeCell ref="B50:D50"/>
    <mergeCell ref="E50:G50"/>
    <mergeCell ref="H50:J50"/>
    <mergeCell ref="M50:P50"/>
    <mergeCell ref="Q50:S50"/>
    <mergeCell ref="P31:Q31"/>
    <mergeCell ref="L32:M32"/>
    <mergeCell ref="N32:O32"/>
    <mergeCell ref="P32:Q32"/>
    <mergeCell ref="L29:M29"/>
    <mergeCell ref="N29:O29"/>
    <mergeCell ref="P29:Q29"/>
    <mergeCell ref="L30:M30"/>
    <mergeCell ref="N30:O30"/>
    <mergeCell ref="P30:Q30"/>
    <mergeCell ref="L25:M25"/>
    <mergeCell ref="N25:O25"/>
    <mergeCell ref="P25:Q25"/>
    <mergeCell ref="L26:M26"/>
    <mergeCell ref="N26:O26"/>
    <mergeCell ref="P26:Q26"/>
    <mergeCell ref="L23:M23"/>
    <mergeCell ref="N23:O23"/>
    <mergeCell ref="P23:Q23"/>
    <mergeCell ref="L24:M24"/>
    <mergeCell ref="N24:O24"/>
    <mergeCell ref="P24:Q24"/>
    <mergeCell ref="L21:M21"/>
    <mergeCell ref="N21:O21"/>
    <mergeCell ref="P21:Q21"/>
    <mergeCell ref="L22:M22"/>
    <mergeCell ref="N22:O22"/>
    <mergeCell ref="P22:Q22"/>
    <mergeCell ref="S2:V2"/>
    <mergeCell ref="S3:V3"/>
    <mergeCell ref="S4:V4"/>
    <mergeCell ref="S5:V5"/>
    <mergeCell ref="K15:M15"/>
  </mergeCells>
  <printOptions horizontalCentered="1"/>
  <pageMargins left="0.25" right="0.25" top="0.75" bottom="0.75" header="0.3" footer="0.3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54"/>
  <sheetViews>
    <sheetView showGridLines="0" zoomScale="70" zoomScaleNormal="70" workbookViewId="0">
      <selection activeCell="AL22" sqref="AL22"/>
    </sheetView>
  </sheetViews>
  <sheetFormatPr defaultColWidth="3.7109375" defaultRowHeight="15"/>
  <cols>
    <col min="1" max="9" width="3.7109375" style="1"/>
    <col min="10" max="10" width="9.28515625" style="1" customWidth="1"/>
    <col min="11" max="11" width="7.85546875" style="1" customWidth="1"/>
    <col min="12" max="15" width="3.7109375" style="1"/>
    <col min="16" max="16" width="5.5703125" style="1"/>
    <col min="17" max="17" width="3.7109375" style="1"/>
    <col min="18" max="18" width="3" style="1" customWidth="1"/>
    <col min="19" max="21" width="3.7109375" style="1"/>
    <col min="22" max="22" width="5.140625" style="1" customWidth="1"/>
    <col min="23" max="28" width="3.7109375" style="1"/>
    <col min="29" max="29" width="6" style="1" customWidth="1"/>
    <col min="30" max="16384" width="3.7109375" style="1"/>
  </cols>
  <sheetData>
    <row r="1" spans="1:23" ht="15.75" thickTop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11"/>
    </row>
    <row r="2" spans="1:23" ht="14.45" customHeight="1">
      <c r="A2" s="4"/>
      <c r="B2" s="15"/>
      <c r="C2" s="10"/>
      <c r="D2" s="10"/>
      <c r="E2" s="16"/>
      <c r="F2" s="77" t="s">
        <v>0</v>
      </c>
      <c r="G2" s="78"/>
      <c r="H2" s="78"/>
      <c r="I2" s="78"/>
      <c r="J2" s="78"/>
      <c r="K2" s="78"/>
      <c r="L2" s="78"/>
      <c r="M2" s="79"/>
      <c r="N2" s="68" t="s">
        <v>1</v>
      </c>
      <c r="O2" s="69"/>
      <c r="P2" s="70"/>
      <c r="Q2" s="22" t="s">
        <v>2</v>
      </c>
      <c r="R2" s="23"/>
      <c r="S2" s="44" t="s">
        <v>65</v>
      </c>
      <c r="T2" s="45"/>
      <c r="U2" s="45"/>
      <c r="V2" s="46"/>
      <c r="W2" s="13"/>
    </row>
    <row r="3" spans="1:23" ht="14.45" customHeight="1">
      <c r="A3" s="4"/>
      <c r="B3" s="17"/>
      <c r="E3" s="18"/>
      <c r="F3" s="80"/>
      <c r="G3" s="81"/>
      <c r="H3" s="81"/>
      <c r="I3" s="81"/>
      <c r="J3" s="81"/>
      <c r="K3" s="81"/>
      <c r="L3" s="81"/>
      <c r="M3" s="82"/>
      <c r="N3" s="71"/>
      <c r="O3" s="72"/>
      <c r="P3" s="73"/>
      <c r="Q3" s="24" t="s">
        <v>3</v>
      </c>
      <c r="R3" s="12"/>
      <c r="S3" s="47">
        <v>45716</v>
      </c>
      <c r="T3" s="45"/>
      <c r="U3" s="45"/>
      <c r="V3" s="46"/>
      <c r="W3" s="13"/>
    </row>
    <row r="4" spans="1:23" ht="14.45" customHeight="1">
      <c r="A4" s="4"/>
      <c r="B4" s="17"/>
      <c r="E4" s="18"/>
      <c r="F4" s="80"/>
      <c r="G4" s="81"/>
      <c r="H4" s="81"/>
      <c r="I4" s="81"/>
      <c r="J4" s="81"/>
      <c r="K4" s="81"/>
      <c r="L4" s="81"/>
      <c r="M4" s="82"/>
      <c r="N4" s="71"/>
      <c r="O4" s="72"/>
      <c r="P4" s="73"/>
      <c r="Q4" s="22" t="s">
        <v>4</v>
      </c>
      <c r="R4" s="23"/>
      <c r="S4" s="48" t="s">
        <v>54</v>
      </c>
      <c r="T4" s="49"/>
      <c r="U4" s="49"/>
      <c r="V4" s="50"/>
      <c r="W4" s="13"/>
    </row>
    <row r="5" spans="1:23" ht="14.45" customHeight="1">
      <c r="A5" s="4"/>
      <c r="B5" s="19"/>
      <c r="C5" s="9"/>
      <c r="D5" s="9"/>
      <c r="E5" s="20"/>
      <c r="F5" s="83"/>
      <c r="G5" s="84"/>
      <c r="H5" s="84"/>
      <c r="I5" s="84"/>
      <c r="J5" s="84"/>
      <c r="K5" s="84"/>
      <c r="L5" s="84"/>
      <c r="M5" s="85"/>
      <c r="N5" s="74"/>
      <c r="O5" s="75"/>
      <c r="P5" s="76"/>
      <c r="Q5" s="25" t="s">
        <v>5</v>
      </c>
      <c r="R5" s="26"/>
      <c r="S5" s="44" t="s">
        <v>6</v>
      </c>
      <c r="T5" s="45"/>
      <c r="U5" s="45"/>
      <c r="V5" s="46"/>
      <c r="W5" s="13"/>
    </row>
    <row r="6" spans="1:23">
      <c r="A6" s="4"/>
      <c r="W6" s="13"/>
    </row>
    <row r="7" spans="1:23">
      <c r="A7" s="4"/>
      <c r="C7" s="5" t="s">
        <v>8</v>
      </c>
      <c r="D7" s="1" t="s">
        <v>9</v>
      </c>
      <c r="W7" s="13"/>
    </row>
    <row r="8" spans="1:23">
      <c r="A8" s="4"/>
      <c r="W8" s="13"/>
    </row>
    <row r="9" spans="1:23">
      <c r="A9" s="4"/>
      <c r="D9" s="30" t="s">
        <v>10</v>
      </c>
      <c r="E9" s="1" t="s">
        <v>11</v>
      </c>
      <c r="J9" s="8" t="s">
        <v>12</v>
      </c>
      <c r="K9" s="9" t="str">
        <f>A00!K11</f>
        <v>PT. TOYO DENSO INDONESIA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3"/>
    </row>
    <row r="10" spans="1:23">
      <c r="A10" s="4"/>
      <c r="D10" s="30" t="s">
        <v>13</v>
      </c>
      <c r="E10" s="1" t="s">
        <v>14</v>
      </c>
      <c r="J10" s="8" t="s">
        <v>12</v>
      </c>
      <c r="K10" s="35" t="str">
        <f>A00!K12</f>
        <v>BRP RYKER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3"/>
    </row>
    <row r="11" spans="1:23">
      <c r="A11" s="4"/>
      <c r="J11" s="8"/>
      <c r="W11" s="13"/>
    </row>
    <row r="12" spans="1:23">
      <c r="A12" s="4"/>
      <c r="J12" s="8"/>
      <c r="W12" s="13"/>
    </row>
    <row r="13" spans="1:23">
      <c r="A13" s="4"/>
      <c r="D13" s="103" t="s">
        <v>47</v>
      </c>
      <c r="E13" s="103"/>
      <c r="F13" s="103"/>
      <c r="G13" s="103"/>
      <c r="H13" s="103"/>
      <c r="I13" s="103" t="s">
        <v>48</v>
      </c>
      <c r="J13" s="103"/>
      <c r="K13" s="103"/>
      <c r="L13" s="103"/>
      <c r="M13" s="103"/>
      <c r="N13" s="103" t="s">
        <v>61</v>
      </c>
      <c r="O13" s="103"/>
      <c r="P13" s="103"/>
      <c r="Q13" s="103"/>
      <c r="R13" s="103"/>
      <c r="W13" s="13"/>
    </row>
    <row r="14" spans="1:23">
      <c r="A14" s="4"/>
      <c r="D14" s="101" t="s">
        <v>60</v>
      </c>
      <c r="E14" s="94"/>
      <c r="F14" s="94"/>
      <c r="G14" s="94"/>
      <c r="H14" s="94"/>
      <c r="I14" s="101" t="s">
        <v>62</v>
      </c>
      <c r="J14" s="94"/>
      <c r="K14" s="94"/>
      <c r="L14" s="94"/>
      <c r="M14" s="94"/>
      <c r="N14" s="102">
        <f>20096/24</f>
        <v>837.33333333333337</v>
      </c>
      <c r="O14" s="102"/>
      <c r="P14" s="102"/>
      <c r="Q14" s="102"/>
      <c r="R14" s="102"/>
      <c r="W14" s="13"/>
    </row>
    <row r="15" spans="1:23">
      <c r="A15" s="4"/>
      <c r="D15" s="101" t="s">
        <v>60</v>
      </c>
      <c r="E15" s="94"/>
      <c r="F15" s="94"/>
      <c r="G15" s="94"/>
      <c r="H15" s="94"/>
      <c r="I15" s="101" t="s">
        <v>63</v>
      </c>
      <c r="J15" s="94"/>
      <c r="K15" s="94"/>
      <c r="L15" s="94"/>
      <c r="M15" s="94"/>
      <c r="N15" s="102">
        <f t="shared" ref="N15:N16" si="0">20096/24</f>
        <v>837.33333333333337</v>
      </c>
      <c r="O15" s="102"/>
      <c r="P15" s="102"/>
      <c r="Q15" s="102"/>
      <c r="R15" s="102"/>
      <c r="W15" s="13"/>
    </row>
    <row r="16" spans="1:23" ht="14.45" customHeight="1">
      <c r="A16" s="4"/>
      <c r="D16" s="101" t="s">
        <v>60</v>
      </c>
      <c r="E16" s="94"/>
      <c r="F16" s="94"/>
      <c r="G16" s="94"/>
      <c r="H16" s="94"/>
      <c r="I16" s="101" t="s">
        <v>64</v>
      </c>
      <c r="J16" s="94"/>
      <c r="K16" s="94"/>
      <c r="L16" s="94"/>
      <c r="M16" s="94"/>
      <c r="N16" s="102">
        <f t="shared" si="0"/>
        <v>837.33333333333337</v>
      </c>
      <c r="O16" s="102"/>
      <c r="P16" s="102"/>
      <c r="Q16" s="102"/>
      <c r="R16" s="102"/>
      <c r="W16" s="13"/>
    </row>
    <row r="17" spans="1:44" ht="14.45" customHeight="1">
      <c r="A17" s="4"/>
      <c r="D17" s="33"/>
      <c r="W17" s="13"/>
      <c r="AR17" s="32"/>
    </row>
    <row r="18" spans="1:44" ht="14.45" customHeight="1">
      <c r="A18" s="4"/>
      <c r="C18" s="5"/>
      <c r="D18" s="33"/>
      <c r="W18" s="13"/>
    </row>
    <row r="19" spans="1:44" ht="14.45" customHeight="1">
      <c r="A19" s="4"/>
      <c r="D19" s="33"/>
      <c r="W19" s="13"/>
    </row>
    <row r="20" spans="1:44" ht="14.45" customHeight="1">
      <c r="A20" s="4"/>
      <c r="D20" s="33"/>
      <c r="W20" s="13"/>
    </row>
    <row r="21" spans="1:44" ht="14.45" customHeight="1">
      <c r="A21" s="4"/>
      <c r="W21" s="13"/>
    </row>
    <row r="22" spans="1:44" ht="14.45" customHeight="1">
      <c r="A22" s="4"/>
      <c r="D22" s="63"/>
      <c r="E22" s="63"/>
      <c r="F22" s="100"/>
      <c r="G22" s="100"/>
      <c r="H22" s="100"/>
      <c r="I22" s="100"/>
      <c r="J22" s="100"/>
      <c r="K22" s="100"/>
      <c r="L22" s="100"/>
      <c r="M22" s="100"/>
      <c r="N22" s="100"/>
      <c r="O22" s="34"/>
      <c r="P22" s="34"/>
      <c r="Q22" s="34"/>
      <c r="R22" s="34"/>
      <c r="S22" s="34"/>
      <c r="W22" s="13"/>
    </row>
    <row r="23" spans="1:44" ht="14.45" customHeight="1">
      <c r="A23" s="4"/>
      <c r="D23" s="63"/>
      <c r="E23" s="63"/>
      <c r="F23" s="100"/>
      <c r="G23" s="100"/>
      <c r="H23" s="100"/>
      <c r="I23" s="100"/>
      <c r="J23" s="100"/>
      <c r="K23" s="100"/>
      <c r="L23" s="100"/>
      <c r="M23" s="100"/>
      <c r="N23" s="100"/>
      <c r="O23" s="34"/>
      <c r="P23" s="34"/>
      <c r="Q23" s="34"/>
      <c r="R23" s="34"/>
      <c r="S23" s="34"/>
      <c r="W23" s="13"/>
    </row>
    <row r="24" spans="1:44" ht="14.45" customHeight="1">
      <c r="A24" s="4"/>
      <c r="D24" s="63"/>
      <c r="E24" s="63"/>
      <c r="F24" s="100"/>
      <c r="G24" s="100"/>
      <c r="H24" s="100"/>
      <c r="I24" s="100"/>
      <c r="J24" s="100"/>
      <c r="K24" s="100"/>
      <c r="L24" s="100"/>
      <c r="M24" s="100"/>
      <c r="N24" s="100"/>
      <c r="O24" s="34"/>
      <c r="P24" s="34"/>
      <c r="Q24" s="34"/>
      <c r="R24" s="34"/>
      <c r="S24" s="34"/>
      <c r="W24" s="13"/>
    </row>
    <row r="25" spans="1:44">
      <c r="A25" s="4"/>
      <c r="D25" s="63"/>
      <c r="E25" s="63"/>
      <c r="F25" s="100"/>
      <c r="G25" s="100"/>
      <c r="H25" s="100"/>
      <c r="I25" s="100"/>
      <c r="J25" s="100"/>
      <c r="K25" s="100"/>
      <c r="L25" s="100"/>
      <c r="M25" s="100"/>
      <c r="N25" s="100"/>
      <c r="O25" s="34"/>
      <c r="P25" s="34"/>
      <c r="Q25" s="34"/>
      <c r="R25" s="34"/>
      <c r="S25" s="34"/>
      <c r="W25" s="13"/>
    </row>
    <row r="26" spans="1:44">
      <c r="A26" s="4"/>
      <c r="D26" s="33"/>
      <c r="W26" s="13"/>
    </row>
    <row r="27" spans="1:44">
      <c r="A27" s="4"/>
      <c r="W27" s="13"/>
    </row>
    <row r="28" spans="1:44">
      <c r="A28" s="4"/>
      <c r="W28" s="13"/>
    </row>
    <row r="29" spans="1:44">
      <c r="A29" s="4"/>
      <c r="W29" s="13"/>
    </row>
    <row r="30" spans="1:44">
      <c r="A30" s="4"/>
      <c r="W30" s="13"/>
    </row>
    <row r="31" spans="1:44">
      <c r="A31" s="4"/>
      <c r="W31" s="13"/>
    </row>
    <row r="32" spans="1:44">
      <c r="A32" s="4"/>
      <c r="W32" s="13"/>
    </row>
    <row r="33" spans="1:23">
      <c r="A33" s="4"/>
      <c r="W33" s="13"/>
    </row>
    <row r="34" spans="1:23">
      <c r="A34" s="4"/>
      <c r="W34" s="13"/>
    </row>
    <row r="35" spans="1:23">
      <c r="A35" s="4"/>
      <c r="W35" s="13"/>
    </row>
    <row r="36" spans="1:23">
      <c r="A36" s="4"/>
      <c r="W36" s="13"/>
    </row>
    <row r="37" spans="1:23">
      <c r="A37" s="4"/>
      <c r="W37" s="13"/>
    </row>
    <row r="38" spans="1:23">
      <c r="A38" s="4"/>
      <c r="W38" s="13"/>
    </row>
    <row r="39" spans="1:23">
      <c r="A39" s="4"/>
      <c r="W39" s="13"/>
    </row>
    <row r="40" spans="1:23">
      <c r="A40" s="4"/>
      <c r="W40" s="13"/>
    </row>
    <row r="41" spans="1:23">
      <c r="A41" s="4"/>
      <c r="W41" s="13"/>
    </row>
    <row r="42" spans="1:23">
      <c r="A42" s="4"/>
      <c r="W42" s="13"/>
    </row>
    <row r="43" spans="1:23">
      <c r="A43" s="4"/>
      <c r="W43" s="13"/>
    </row>
    <row r="44" spans="1:23">
      <c r="A44" s="4"/>
      <c r="W44" s="13"/>
    </row>
    <row r="45" spans="1:23">
      <c r="A45" s="4"/>
      <c r="W45" s="13"/>
    </row>
    <row r="46" spans="1:23">
      <c r="A46" s="4"/>
      <c r="W46" s="13"/>
    </row>
    <row r="47" spans="1:23">
      <c r="A47" s="4"/>
      <c r="W47" s="13"/>
    </row>
    <row r="48" spans="1:23">
      <c r="A48" s="4"/>
      <c r="W48" s="13"/>
    </row>
    <row r="49" spans="1:23">
      <c r="A49" s="4"/>
      <c r="W49" s="13"/>
    </row>
    <row r="50" spans="1:23" ht="15.75" thickBo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4"/>
    </row>
    <row r="51" spans="1:23" ht="15.75" thickTop="1">
      <c r="A51" s="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13"/>
    </row>
    <row r="52" spans="1:23">
      <c r="A52" s="4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13"/>
    </row>
    <row r="53" spans="1:23" ht="15.75" thickBot="1">
      <c r="A53" s="6"/>
      <c r="B53" s="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14"/>
    </row>
    <row r="54" spans="1:23" ht="15.75" thickTop="1"/>
  </sheetData>
  <mergeCells count="26">
    <mergeCell ref="D16:H16"/>
    <mergeCell ref="I16:M16"/>
    <mergeCell ref="N16:R16"/>
    <mergeCell ref="D15:H15"/>
    <mergeCell ref="I13:M13"/>
    <mergeCell ref="N13:R13"/>
    <mergeCell ref="I14:M14"/>
    <mergeCell ref="N14:R14"/>
    <mergeCell ref="I15:M15"/>
    <mergeCell ref="N15:R15"/>
    <mergeCell ref="D14:H14"/>
    <mergeCell ref="D13:H13"/>
    <mergeCell ref="D25:E25"/>
    <mergeCell ref="F25:N25"/>
    <mergeCell ref="D22:E22"/>
    <mergeCell ref="F22:N22"/>
    <mergeCell ref="D23:E23"/>
    <mergeCell ref="F23:N23"/>
    <mergeCell ref="D24:E24"/>
    <mergeCell ref="F24:N24"/>
    <mergeCell ref="S2:V2"/>
    <mergeCell ref="S3:V3"/>
    <mergeCell ref="S4:V4"/>
    <mergeCell ref="S5:V5"/>
    <mergeCell ref="F2:M5"/>
    <mergeCell ref="N2:P5"/>
  </mergeCells>
  <phoneticPr fontId="13" type="noConversion"/>
  <printOptions horizontalCentered="1"/>
  <pageMargins left="0.25" right="0.25" top="0.75" bottom="0.75" header="0.3" footer="0.3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E673-9F65-4C36-99DE-B3D14BEC8057}">
  <sheetPr>
    <pageSetUpPr fitToPage="1"/>
  </sheetPr>
  <dimension ref="A1:AR54"/>
  <sheetViews>
    <sheetView showGridLines="0" tabSelected="1" zoomScale="70" zoomScaleNormal="70" workbookViewId="0">
      <selection activeCell="AF35" sqref="AF35"/>
    </sheetView>
  </sheetViews>
  <sheetFormatPr defaultColWidth="3.7109375" defaultRowHeight="15"/>
  <cols>
    <col min="1" max="9" width="3.7109375" style="1"/>
    <col min="10" max="11" width="3.5703125" style="1" customWidth="1"/>
    <col min="12" max="17" width="3.7109375" style="1"/>
    <col min="18" max="18" width="3" style="1" customWidth="1"/>
    <col min="19" max="21" width="3.7109375" style="1"/>
    <col min="22" max="22" width="5.140625" style="1" customWidth="1"/>
    <col min="23" max="28" width="3.7109375" style="1"/>
    <col min="29" max="29" width="6" style="1" customWidth="1"/>
    <col min="30" max="16384" width="3.7109375" style="1"/>
  </cols>
  <sheetData>
    <row r="1" spans="1:23" ht="15.75" thickTop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11"/>
    </row>
    <row r="2" spans="1:23" ht="14.45" customHeight="1">
      <c r="A2" s="4"/>
      <c r="B2" s="15"/>
      <c r="C2" s="10"/>
      <c r="D2" s="10"/>
      <c r="E2" s="16"/>
      <c r="F2" s="77" t="s">
        <v>0</v>
      </c>
      <c r="G2" s="78"/>
      <c r="H2" s="78"/>
      <c r="I2" s="78"/>
      <c r="J2" s="78"/>
      <c r="K2" s="78"/>
      <c r="L2" s="78"/>
      <c r="M2" s="79"/>
      <c r="N2" s="68" t="s">
        <v>1</v>
      </c>
      <c r="O2" s="69"/>
      <c r="P2" s="70"/>
      <c r="Q2" s="22" t="s">
        <v>2</v>
      </c>
      <c r="R2" s="23"/>
      <c r="S2" s="44" t="s">
        <v>65</v>
      </c>
      <c r="T2" s="45"/>
      <c r="U2" s="45"/>
      <c r="V2" s="46"/>
      <c r="W2" s="13"/>
    </row>
    <row r="3" spans="1:23" ht="14.45" customHeight="1">
      <c r="A3" s="4"/>
      <c r="B3" s="17"/>
      <c r="E3" s="18"/>
      <c r="F3" s="80"/>
      <c r="G3" s="81"/>
      <c r="H3" s="81"/>
      <c r="I3" s="81"/>
      <c r="J3" s="81"/>
      <c r="K3" s="81"/>
      <c r="L3" s="81"/>
      <c r="M3" s="82"/>
      <c r="N3" s="71"/>
      <c r="O3" s="72"/>
      <c r="P3" s="73"/>
      <c r="Q3" s="24" t="s">
        <v>3</v>
      </c>
      <c r="R3" s="12"/>
      <c r="S3" s="47">
        <v>45716</v>
      </c>
      <c r="T3" s="45"/>
      <c r="U3" s="45"/>
      <c r="V3" s="46"/>
      <c r="W3" s="13"/>
    </row>
    <row r="4" spans="1:23" ht="14.45" customHeight="1">
      <c r="A4" s="4"/>
      <c r="B4" s="17"/>
      <c r="E4" s="18"/>
      <c r="F4" s="80"/>
      <c r="G4" s="81"/>
      <c r="H4" s="81"/>
      <c r="I4" s="81"/>
      <c r="J4" s="81"/>
      <c r="K4" s="81"/>
      <c r="L4" s="81"/>
      <c r="M4" s="82"/>
      <c r="N4" s="71"/>
      <c r="O4" s="72"/>
      <c r="P4" s="73"/>
      <c r="Q4" s="22" t="s">
        <v>4</v>
      </c>
      <c r="R4" s="23"/>
      <c r="S4" s="48" t="s">
        <v>54</v>
      </c>
      <c r="T4" s="49"/>
      <c r="U4" s="49"/>
      <c r="V4" s="50"/>
      <c r="W4" s="13"/>
    </row>
    <row r="5" spans="1:23" ht="14.45" customHeight="1">
      <c r="A5" s="4"/>
      <c r="B5" s="19"/>
      <c r="C5" s="9"/>
      <c r="D5" s="9"/>
      <c r="E5" s="20"/>
      <c r="F5" s="83"/>
      <c r="G5" s="84"/>
      <c r="H5" s="84"/>
      <c r="I5" s="84"/>
      <c r="J5" s="84"/>
      <c r="K5" s="84"/>
      <c r="L5" s="84"/>
      <c r="M5" s="85"/>
      <c r="N5" s="74"/>
      <c r="O5" s="75"/>
      <c r="P5" s="76"/>
      <c r="Q5" s="25" t="s">
        <v>5</v>
      </c>
      <c r="R5" s="26"/>
      <c r="S5" s="44" t="s">
        <v>6</v>
      </c>
      <c r="T5" s="45"/>
      <c r="U5" s="45"/>
      <c r="V5" s="46"/>
      <c r="W5" s="13"/>
    </row>
    <row r="6" spans="1:23">
      <c r="A6" s="4"/>
      <c r="W6" s="13"/>
    </row>
    <row r="7" spans="1:23">
      <c r="A7" s="4"/>
      <c r="B7" s="5" t="s">
        <v>78</v>
      </c>
      <c r="W7" s="13"/>
    </row>
    <row r="8" spans="1:23">
      <c r="A8" s="4"/>
      <c r="B8" s="40" t="s">
        <v>73</v>
      </c>
      <c r="C8" s="104" t="s">
        <v>14</v>
      </c>
      <c r="D8" s="106"/>
      <c r="E8" s="103" t="s">
        <v>74</v>
      </c>
      <c r="F8" s="103"/>
      <c r="G8" s="103"/>
      <c r="H8" s="103"/>
      <c r="I8" s="104">
        <v>2026</v>
      </c>
      <c r="J8" s="105"/>
      <c r="K8" s="104">
        <v>2027</v>
      </c>
      <c r="L8" s="105"/>
      <c r="M8" s="104">
        <v>2028</v>
      </c>
      <c r="N8" s="105"/>
      <c r="O8" s="104">
        <v>2029</v>
      </c>
      <c r="P8" s="105"/>
      <c r="Q8" s="104">
        <v>2030</v>
      </c>
      <c r="R8" s="105"/>
      <c r="S8" s="104">
        <v>2031</v>
      </c>
      <c r="T8" s="105"/>
      <c r="U8" s="104" t="s">
        <v>75</v>
      </c>
      <c r="V8" s="105"/>
      <c r="W8" s="13"/>
    </row>
    <row r="9" spans="1:23">
      <c r="A9" s="4"/>
      <c r="B9" s="107">
        <v>1</v>
      </c>
      <c r="C9" s="111" t="s">
        <v>76</v>
      </c>
      <c r="D9" s="111"/>
      <c r="E9" s="109" t="s">
        <v>77</v>
      </c>
      <c r="F9" s="109"/>
      <c r="G9" s="109"/>
      <c r="H9" s="110"/>
      <c r="I9" s="108">
        <v>200</v>
      </c>
      <c r="J9" s="110"/>
      <c r="K9" s="108">
        <v>1200</v>
      </c>
      <c r="L9" s="110"/>
      <c r="M9" s="108">
        <v>1200</v>
      </c>
      <c r="N9" s="110"/>
      <c r="O9" s="108">
        <v>1200</v>
      </c>
      <c r="P9" s="110"/>
      <c r="Q9" s="108">
        <v>1200</v>
      </c>
      <c r="R9" s="110"/>
      <c r="S9" s="108">
        <v>1100</v>
      </c>
      <c r="T9" s="110"/>
      <c r="U9" s="108">
        <f>SUM(I9:T9)</f>
        <v>6100</v>
      </c>
      <c r="V9" s="110"/>
      <c r="W9" s="13"/>
    </row>
    <row r="10" spans="1:23">
      <c r="A10" s="4"/>
      <c r="W10" s="13"/>
    </row>
    <row r="11" spans="1:23">
      <c r="A11" s="4"/>
      <c r="W11" s="13"/>
    </row>
    <row r="12" spans="1:23">
      <c r="A12" s="4"/>
      <c r="W12" s="13"/>
    </row>
    <row r="13" spans="1:23">
      <c r="A13" s="4"/>
      <c r="W13" s="13"/>
    </row>
    <row r="14" spans="1:23">
      <c r="A14" s="4"/>
      <c r="W14" s="13"/>
    </row>
    <row r="15" spans="1:23">
      <c r="A15" s="4"/>
      <c r="W15" s="13"/>
    </row>
    <row r="16" spans="1:23" ht="14.45" customHeight="1">
      <c r="A16" s="4"/>
      <c r="W16" s="13"/>
    </row>
    <row r="17" spans="1:44" ht="14.45" customHeight="1">
      <c r="A17" s="4"/>
      <c r="D17" s="33"/>
      <c r="W17" s="13"/>
      <c r="AR17" s="32"/>
    </row>
    <row r="18" spans="1:44" ht="14.45" customHeight="1">
      <c r="A18" s="4"/>
      <c r="C18" s="5"/>
      <c r="D18" s="33"/>
      <c r="W18" s="13"/>
    </row>
    <row r="19" spans="1:44" ht="14.45" customHeight="1">
      <c r="A19" s="4"/>
      <c r="D19" s="33"/>
      <c r="W19" s="13"/>
    </row>
    <row r="20" spans="1:44" ht="14.45" customHeight="1">
      <c r="A20" s="4"/>
      <c r="D20" s="33"/>
      <c r="W20" s="13"/>
    </row>
    <row r="21" spans="1:44" ht="14.45" customHeight="1">
      <c r="A21" s="4"/>
      <c r="W21" s="13"/>
    </row>
    <row r="22" spans="1:44" ht="14.45" customHeight="1">
      <c r="A22" s="4"/>
      <c r="D22" s="63"/>
      <c r="E22" s="63"/>
      <c r="F22" s="100"/>
      <c r="G22" s="100"/>
      <c r="H22" s="100"/>
      <c r="I22" s="100"/>
      <c r="J22" s="100"/>
      <c r="K22" s="100"/>
      <c r="L22" s="100"/>
      <c r="M22" s="100"/>
      <c r="N22" s="100"/>
      <c r="O22" s="34"/>
      <c r="P22" s="34"/>
      <c r="Q22" s="34"/>
      <c r="R22" s="34"/>
      <c r="S22" s="34"/>
      <c r="W22" s="13"/>
    </row>
    <row r="23" spans="1:44" ht="14.45" customHeight="1">
      <c r="A23" s="4"/>
      <c r="D23" s="63"/>
      <c r="E23" s="63"/>
      <c r="F23" s="100"/>
      <c r="G23" s="100"/>
      <c r="H23" s="100"/>
      <c r="I23" s="100"/>
      <c r="J23" s="100"/>
      <c r="K23" s="100"/>
      <c r="L23" s="100"/>
      <c r="M23" s="100"/>
      <c r="N23" s="100"/>
      <c r="O23" s="34"/>
      <c r="P23" s="34"/>
      <c r="Q23" s="34"/>
      <c r="R23" s="34"/>
      <c r="S23" s="34"/>
      <c r="W23" s="13"/>
    </row>
    <row r="24" spans="1:44" ht="14.45" customHeight="1">
      <c r="A24" s="4"/>
      <c r="D24" s="63"/>
      <c r="E24" s="63"/>
      <c r="F24" s="100"/>
      <c r="G24" s="100"/>
      <c r="H24" s="100"/>
      <c r="I24" s="100"/>
      <c r="J24" s="100"/>
      <c r="K24" s="100"/>
      <c r="L24" s="100"/>
      <c r="M24" s="100"/>
      <c r="N24" s="100"/>
      <c r="O24" s="34"/>
      <c r="P24" s="34"/>
      <c r="Q24" s="34"/>
      <c r="R24" s="34"/>
      <c r="S24" s="34"/>
      <c r="W24" s="13"/>
    </row>
    <row r="25" spans="1:44">
      <c r="A25" s="4"/>
      <c r="D25" s="63"/>
      <c r="E25" s="63"/>
      <c r="F25" s="100"/>
      <c r="G25" s="100"/>
      <c r="H25" s="100"/>
      <c r="I25" s="100"/>
      <c r="J25" s="100"/>
      <c r="K25" s="100"/>
      <c r="L25" s="100"/>
      <c r="M25" s="100"/>
      <c r="N25" s="100"/>
      <c r="O25" s="34"/>
      <c r="P25" s="34"/>
      <c r="Q25" s="34"/>
      <c r="R25" s="34"/>
      <c r="S25" s="34"/>
      <c r="W25" s="13"/>
    </row>
    <row r="26" spans="1:44">
      <c r="A26" s="4"/>
      <c r="D26" s="33"/>
      <c r="W26" s="13"/>
    </row>
    <row r="27" spans="1:44">
      <c r="A27" s="4"/>
      <c r="W27" s="13"/>
    </row>
    <row r="28" spans="1:44">
      <c r="A28" s="4"/>
      <c r="W28" s="13"/>
    </row>
    <row r="29" spans="1:44">
      <c r="A29" s="4"/>
      <c r="W29" s="13"/>
    </row>
    <row r="30" spans="1:44">
      <c r="A30" s="4"/>
      <c r="W30" s="13"/>
    </row>
    <row r="31" spans="1:44">
      <c r="A31" s="4"/>
      <c r="W31" s="13"/>
    </row>
    <row r="32" spans="1:44">
      <c r="A32" s="4"/>
      <c r="W32" s="13"/>
    </row>
    <row r="33" spans="1:23">
      <c r="A33" s="4"/>
      <c r="W33" s="13"/>
    </row>
    <row r="34" spans="1:23">
      <c r="A34" s="4"/>
      <c r="W34" s="13"/>
    </row>
    <row r="35" spans="1:23">
      <c r="A35" s="4"/>
      <c r="W35" s="13"/>
    </row>
    <row r="36" spans="1:23">
      <c r="A36" s="4"/>
      <c r="W36" s="13"/>
    </row>
    <row r="37" spans="1:23">
      <c r="A37" s="4"/>
      <c r="W37" s="13"/>
    </row>
    <row r="38" spans="1:23">
      <c r="A38" s="4"/>
      <c r="W38" s="13"/>
    </row>
    <row r="39" spans="1:23">
      <c r="A39" s="4"/>
      <c r="W39" s="13"/>
    </row>
    <row r="40" spans="1:23">
      <c r="A40" s="4"/>
      <c r="W40" s="13"/>
    </row>
    <row r="41" spans="1:23">
      <c r="A41" s="4"/>
      <c r="W41" s="13"/>
    </row>
    <row r="42" spans="1:23">
      <c r="A42" s="4"/>
      <c r="W42" s="13"/>
    </row>
    <row r="43" spans="1:23">
      <c r="A43" s="4"/>
      <c r="W43" s="13"/>
    </row>
    <row r="44" spans="1:23">
      <c r="A44" s="4"/>
      <c r="W44" s="13"/>
    </row>
    <row r="45" spans="1:23">
      <c r="A45" s="4"/>
      <c r="W45" s="13"/>
    </row>
    <row r="46" spans="1:23">
      <c r="A46" s="4"/>
      <c r="W46" s="13"/>
    </row>
    <row r="47" spans="1:23">
      <c r="A47" s="4"/>
      <c r="W47" s="13"/>
    </row>
    <row r="48" spans="1:23">
      <c r="A48" s="4"/>
      <c r="W48" s="13"/>
    </row>
    <row r="49" spans="1:23">
      <c r="A49" s="4"/>
      <c r="W49" s="13"/>
    </row>
    <row r="50" spans="1:23" ht="15.75" thickBo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4"/>
    </row>
    <row r="51" spans="1:23" ht="15.75" thickTop="1">
      <c r="A51" s="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13"/>
    </row>
    <row r="52" spans="1:23">
      <c r="A52" s="4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13"/>
    </row>
    <row r="53" spans="1:23" ht="15.75" thickBot="1">
      <c r="A53" s="6"/>
      <c r="B53" s="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14"/>
    </row>
    <row r="54" spans="1:23" ht="15.75" thickTop="1"/>
  </sheetData>
  <mergeCells count="32">
    <mergeCell ref="S9:T9"/>
    <mergeCell ref="U9:V9"/>
    <mergeCell ref="E8:H8"/>
    <mergeCell ref="E9:H9"/>
    <mergeCell ref="C9:D9"/>
    <mergeCell ref="I9:J9"/>
    <mergeCell ref="K9:L9"/>
    <mergeCell ref="M9:N9"/>
    <mergeCell ref="O9:P9"/>
    <mergeCell ref="Q9:R9"/>
    <mergeCell ref="O8:P8"/>
    <mergeCell ref="Q8:R8"/>
    <mergeCell ref="S8:T8"/>
    <mergeCell ref="C8:D8"/>
    <mergeCell ref="U8:V8"/>
    <mergeCell ref="I8:J8"/>
    <mergeCell ref="K8:L8"/>
    <mergeCell ref="M8:N8"/>
    <mergeCell ref="D25:E25"/>
    <mergeCell ref="F25:N25"/>
    <mergeCell ref="D22:E22"/>
    <mergeCell ref="F22:N22"/>
    <mergeCell ref="D23:E23"/>
    <mergeCell ref="F23:N23"/>
    <mergeCell ref="D24:E24"/>
    <mergeCell ref="F24:N24"/>
    <mergeCell ref="F2:M5"/>
    <mergeCell ref="N2:P5"/>
    <mergeCell ref="S2:V2"/>
    <mergeCell ref="S3:V3"/>
    <mergeCell ref="S4:V4"/>
    <mergeCell ref="S5:V5"/>
  </mergeCells>
  <printOptions horizontalCentered="1"/>
  <pageMargins left="0.25" right="0.25" top="0.75" bottom="0.75" header="0.3" footer="0.3"/>
  <pageSetup paperSize="9" scale="9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b67fe-99c5-4878-bcae-37c580b1ef7f">
      <Terms xmlns="http://schemas.microsoft.com/office/infopath/2007/PartnerControls"/>
    </lcf76f155ced4ddcb4097134ff3c332f>
    <TaxCatchAll xmlns="efc2e60c-9564-4f53-9379-b190dde1f0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19C564D53FA4695ADE07C2BCAE8CC" ma:contentTypeVersion="15" ma:contentTypeDescription="Create a new document." ma:contentTypeScope="" ma:versionID="f384d7ab7d85283251f04b0886e978a8">
  <xsd:schema xmlns:xsd="http://www.w3.org/2001/XMLSchema" xmlns:xs="http://www.w3.org/2001/XMLSchema" xmlns:p="http://schemas.microsoft.com/office/2006/metadata/properties" xmlns:ns2="3c4b67fe-99c5-4878-bcae-37c580b1ef7f" xmlns:ns3="efc2e60c-9564-4f53-9379-b190dde1f02d" targetNamespace="http://schemas.microsoft.com/office/2006/metadata/properties" ma:root="true" ma:fieldsID="145a09d1d91b1ce4c89c53ba58976242" ns2:_="" ns3:_="">
    <xsd:import namespace="3c4b67fe-99c5-4878-bcae-37c580b1ef7f"/>
    <xsd:import namespace="efc2e60c-9564-4f53-9379-b190dde1f0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b67fe-99c5-4878-bcae-37c580b1e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40a2c43-134d-4072-9539-833c0c82c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2e60c-9564-4f53-9379-b190dde1f02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98d3f07-f51e-4a05-8dd1-5c3ffe8a6183}" ma:internalName="TaxCatchAll" ma:showField="CatchAllData" ma:web="efc2e60c-9564-4f53-9379-b190dde1f0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7452E0-E1BD-47F7-9D46-86D8B676B284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efc2e60c-9564-4f53-9379-b190dde1f02d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3c4b67fe-99c5-4878-bcae-37c580b1ef7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D0C738F-7EBF-4BDC-B841-F972A7B948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b67fe-99c5-4878-bcae-37c580b1ef7f"/>
    <ds:schemaRef ds:uri="efc2e60c-9564-4f53-9379-b190dde1f0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98CB38-9E1E-4F2F-A279-2EC67C8F63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A00</vt:lpstr>
      <vt:lpstr>LAMPIRAN ASSY</vt:lpstr>
      <vt:lpstr>LAMPIRAN ASSY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Monica Bhaktyarthi Akyati</cp:lastModifiedBy>
  <cp:lastPrinted>2025-02-28T07:07:46Z</cp:lastPrinted>
  <dcterms:created xsi:type="dcterms:W3CDTF">2018-02-23T13:07:00Z</dcterms:created>
  <dcterms:modified xsi:type="dcterms:W3CDTF">2026-08-19T03:23:36Z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1057-12.2.0.13431</vt:lpwstr>
  </property>
  <property fmtid="{D5CDD505-2E9C-101B-9397-08002B2CF9AE}" pid="3" name="ICV">
    <vt:lpwstr>7567DB93E97B4DEDBBE93E9CFC487699_13</vt:lpwstr>
  </property>
  <property fmtid="{D5CDD505-2E9C-101B-9397-08002B2CF9AE}" pid="4" name="ContentTypeId">
    <vt:lpwstr>0x01010080419C564D53FA4695ADE07C2BCAE8CC</vt:lpwstr>
  </property>
  <property fmtid="{D5CDD505-2E9C-101B-9397-08002B2CF9AE}" pid="5" name="MediaServiceImageTags">
    <vt:lpwstr/>
  </property>
</Properties>
</file>